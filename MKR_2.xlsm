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75" windowWidth="18195" windowHeight="11820"/>
  </bookViews>
  <sheets>
    <sheet name="1" sheetId="1" r:id="rId1"/>
    <sheet name="2" sheetId="2" r:id="rId2"/>
    <sheet name="Лист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5" i="2" l="1"/>
  <c r="G8" i="2" s="1"/>
  <c r="C17" i="2"/>
  <c r="G10" i="2" s="1"/>
  <c r="C16" i="2"/>
  <c r="C15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F12" i="1"/>
  <c r="C16" i="1"/>
  <c r="F11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C17" i="1"/>
  <c r="G10" i="1" s="1"/>
  <c r="C15" i="1"/>
  <c r="F12" i="2" l="1"/>
  <c r="F11" i="2"/>
  <c r="G11" i="2" s="1"/>
  <c r="H11" i="2" s="1"/>
  <c r="H10" i="2"/>
  <c r="H10" i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G11" i="1"/>
  <c r="H11" i="1" s="1"/>
  <c r="I10" i="2" l="1"/>
  <c r="I11" i="2"/>
  <c r="I11" i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I7" i="1" s="1"/>
  <c r="AH7" i="1" s="1"/>
  <c r="AG7" i="1" s="1"/>
  <c r="AF7" i="1" s="1"/>
  <c r="AE7" i="1" s="1"/>
  <c r="AD7" i="1" s="1"/>
  <c r="AC7" i="1" s="1"/>
  <c r="AB7" i="1" s="1"/>
  <c r="AA7" i="1" s="1"/>
  <c r="Z7" i="1" s="1"/>
  <c r="Y7" i="1" s="1"/>
  <c r="X7" i="1" s="1"/>
  <c r="W7" i="1" s="1"/>
  <c r="V7" i="1" s="1"/>
  <c r="U7" i="1" s="1"/>
  <c r="T7" i="1" s="1"/>
  <c r="S7" i="1" s="1"/>
  <c r="R7" i="1" s="1"/>
  <c r="Q7" i="1" s="1"/>
  <c r="P7" i="1" s="1"/>
  <c r="O7" i="1" s="1"/>
  <c r="N7" i="1" s="1"/>
  <c r="M7" i="1" s="1"/>
  <c r="L7" i="1" s="1"/>
  <c r="K7" i="1" s="1"/>
  <c r="J7" i="1" s="1"/>
  <c r="I7" i="1" s="1"/>
  <c r="H7" i="1" s="1"/>
  <c r="G7" i="1" s="1"/>
  <c r="J11" i="2" l="1"/>
  <c r="J10" i="2"/>
  <c r="K11" i="2" l="1"/>
  <c r="K10" i="2"/>
  <c r="L11" i="2" l="1"/>
  <c r="L10" i="2"/>
  <c r="M11" i="2" l="1"/>
  <c r="M10" i="2"/>
  <c r="N10" i="2" l="1"/>
  <c r="N11" i="2"/>
  <c r="O11" i="2" l="1"/>
  <c r="O10" i="2"/>
  <c r="P10" i="2" l="1"/>
  <c r="P11" i="2"/>
  <c r="Q11" i="2" l="1"/>
  <c r="Q10" i="2"/>
  <c r="R10" i="2" l="1"/>
  <c r="R11" i="2"/>
  <c r="S11" i="2" l="1"/>
  <c r="S10" i="2"/>
  <c r="T10" i="2" l="1"/>
  <c r="T11" i="2"/>
  <c r="U11" i="2" l="1"/>
  <c r="U10" i="2"/>
  <c r="V10" i="2" l="1"/>
  <c r="V11" i="2"/>
  <c r="W11" i="2" l="1"/>
  <c r="W10" i="2"/>
  <c r="X10" i="2" l="1"/>
  <c r="X11" i="2"/>
  <c r="Y11" i="2" l="1"/>
  <c r="Y10" i="2"/>
  <c r="Z10" i="2" l="1"/>
  <c r="Z11" i="2"/>
  <c r="AA11" i="2" l="1"/>
  <c r="AA10" i="2"/>
  <c r="AB10" i="2" l="1"/>
  <c r="AB11" i="2"/>
  <c r="AC11" i="2" l="1"/>
  <c r="AC10" i="2"/>
  <c r="AD10" i="2" l="1"/>
  <c r="AD11" i="2"/>
  <c r="AE11" i="2" l="1"/>
  <c r="AE10" i="2"/>
  <c r="AF10" i="2" l="1"/>
  <c r="AF11" i="2"/>
  <c r="AG11" i="2" l="1"/>
  <c r="AG10" i="2"/>
  <c r="AH10" i="2" l="1"/>
  <c r="AH11" i="2"/>
  <c r="AI11" i="2" l="1"/>
  <c r="AI10" i="2"/>
  <c r="AI7" i="2" l="1"/>
  <c r="AH7" i="2" s="1"/>
  <c r="AG7" i="2" s="1"/>
  <c r="AF7" i="2" s="1"/>
  <c r="AE7" i="2" s="1"/>
  <c r="AD7" i="2" s="1"/>
  <c r="AC7" i="2" s="1"/>
  <c r="AB7" i="2" s="1"/>
  <c r="AA7" i="2" s="1"/>
  <c r="Z7" i="2" s="1"/>
  <c r="Y7" i="2" s="1"/>
  <c r="X7" i="2" s="1"/>
  <c r="W7" i="2" s="1"/>
  <c r="V7" i="2" s="1"/>
  <c r="U7" i="2" s="1"/>
  <c r="T7" i="2" s="1"/>
  <c r="S7" i="2" s="1"/>
  <c r="R7" i="2" s="1"/>
  <c r="Q7" i="2" s="1"/>
  <c r="P7" i="2" s="1"/>
  <c r="O7" i="2" s="1"/>
  <c r="N7" i="2" s="1"/>
  <c r="M7" i="2" s="1"/>
  <c r="L7" i="2" s="1"/>
  <c r="K7" i="2" s="1"/>
  <c r="J7" i="2" s="1"/>
  <c r="I7" i="2" s="1"/>
  <c r="H7" i="2" s="1"/>
  <c r="G7" i="2" s="1"/>
</calcChain>
</file>

<file path=xl/sharedStrings.xml><?xml version="1.0" encoding="utf-8"?>
<sst xmlns="http://schemas.openxmlformats.org/spreadsheetml/2006/main" count="39" uniqueCount="19">
  <si>
    <t>L</t>
  </si>
  <si>
    <t>dx</t>
  </si>
  <si>
    <t>dt</t>
  </si>
  <si>
    <t>T</t>
  </si>
  <si>
    <t>t</t>
  </si>
  <si>
    <t>T_iter</t>
  </si>
  <si>
    <t>Cp</t>
  </si>
  <si>
    <t>q</t>
  </si>
  <si>
    <t>ρ</t>
  </si>
  <si>
    <t>λ</t>
  </si>
  <si>
    <t>q_start</t>
  </si>
  <si>
    <t>T_end</t>
  </si>
  <si>
    <t>T_start</t>
  </si>
  <si>
    <t>A</t>
  </si>
  <si>
    <t>B</t>
  </si>
  <si>
    <t>C</t>
  </si>
  <si>
    <t>α</t>
  </si>
  <si>
    <t>β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</si>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</sst>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0" borderId="1" xfId="0" applyBorder="1"/>
    <xf numFmtId="0" fontId="1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0" fontId="0" fillId="0" borderId="0" xfId="0" applyFont="1"/>
    <xf numFmtId="0" fontId="0" fillId="0" borderId="0" xfId="0" applyFill="1" applyBorder="1"/>
    <xf numFmtId="0" fontId="1" fillId="0" borderId="0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10010402053208"/>
          <c:y val="2.0581197588541877E-2"/>
          <c:w val="0.84055900821652252"/>
          <c:h val="0.88102419132691867"/>
        </c:manualLayout>
      </c:layout>
      <c:scatterChart>
        <c:scatterStyle val="smoothMarker"/>
        <c:varyColors val="0"/>
        <c:ser>
          <c:idx val="0"/>
          <c:order val="0"/>
          <c:spPr>
            <a:ln w="47625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'1'!$F$4:$AJ$4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'1'!$F$5:$AJ$5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293.32891828066874</c:v>
                </c:pt>
                <c:pt idx="2">
                  <c:v>286.65788493357832</c:v>
                </c:pt>
                <c:pt idx="3">
                  <c:v>279.98694780099339</c:v>
                </c:pt>
                <c:pt idx="4">
                  <c:v>273.31615367103211</c:v>
                </c:pt>
                <c:pt idx="5">
                  <c:v>266.6455477650461</c:v>
                </c:pt>
                <c:pt idx="6">
                  <c:v>259.97517324216562</c:v>
                </c:pt>
                <c:pt idx="7">
                  <c:v>253.30507072643934</c:v>
                </c:pt>
                <c:pt idx="8">
                  <c:v>246.63527786174859</c:v>
                </c:pt>
                <c:pt idx="9">
                  <c:v>239.96582889937309</c:v>
                </c:pt>
                <c:pt idx="10">
                  <c:v>233.29675432272683</c:v>
                </c:pt>
                <c:pt idx="11">
                  <c:v>226.62808051337544</c:v>
                </c:pt>
                <c:pt idx="12">
                  <c:v>219.95982946199422</c:v>
                </c:pt>
                <c:pt idx="13">
                  <c:v>213.29201852743358</c:v>
                </c:pt>
                <c:pt idx="14">
                  <c:v>206.62466024653207</c:v>
                </c:pt>
                <c:pt idx="15">
                  <c:v>199.95776219675997</c:v>
                </c:pt>
                <c:pt idx="16">
                  <c:v>193.29132691319904</c:v>
                </c:pt>
                <c:pt idx="17">
                  <c:v>186.62535186076747</c:v>
                </c:pt>
                <c:pt idx="18">
                  <c:v>179.95982946199504</c:v>
                </c:pt>
                <c:pt idx="19">
                  <c:v>173.2947471800432</c:v>
                </c:pt>
                <c:pt idx="20">
                  <c:v>166.63008765606148</c:v>
                </c:pt>
                <c:pt idx="21">
                  <c:v>159.96582889937454</c:v>
                </c:pt>
                <c:pt idx="22">
                  <c:v>153.30194452841681</c:v>
                </c:pt>
                <c:pt idx="23">
                  <c:v>146.63840405977425</c:v>
                </c:pt>
                <c:pt idx="24">
                  <c:v>139.97517324216707</c:v>
                </c:pt>
                <c:pt idx="25">
                  <c:v>133.31221443171404</c:v>
                </c:pt>
                <c:pt idx="26">
                  <c:v>126.64948700436656</c:v>
                </c:pt>
                <c:pt idx="27">
                  <c:v>119.98694780099426</c:v>
                </c:pt>
                <c:pt idx="28">
                  <c:v>113.32455160024561</c:v>
                </c:pt>
                <c:pt idx="29">
                  <c:v>106.66225161400237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56448"/>
        <c:axId val="99657984"/>
      </c:scatterChart>
      <c:valAx>
        <c:axId val="99656448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99657984"/>
        <c:crosses val="autoZero"/>
        <c:crossBetween val="midCat"/>
      </c:valAx>
      <c:valAx>
        <c:axId val="99657984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99656448"/>
        <c:crosses val="autoZero"/>
        <c:crossBetween val="midCat"/>
      </c:valAx>
      <c:spPr>
        <a:gradFill flip="none" rotWithShape="1">
          <a:gsLst>
            <a:gs pos="0">
              <a:srgbClr val="FFEFD1"/>
            </a:gs>
            <a:gs pos="10000">
              <a:schemeClr val="bg2"/>
            </a:gs>
            <a:gs pos="100000">
              <a:srgbClr val="D1C39F"/>
            </a:gs>
          </a:gsLst>
          <a:lin ang="0" scaled="1"/>
          <a:tileRect/>
        </a:gradFill>
      </c:spPr>
    </c:plotArea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0" scaled="1"/>
    </a:gradFill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89110592452485"/>
          <c:y val="1.8405595306454997E-2"/>
          <c:w val="0.84055900821652252"/>
          <c:h val="0.88102419132691867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'2'!$F$5:$AJ$5</c:f>
              <c:numCache>
                <c:formatCode>General</c:formatCode>
                <c:ptCount val="31"/>
                <c:pt idx="0">
                  <c:v>299.9700784164682</c:v>
                </c:pt>
                <c:pt idx="1">
                  <c:v>293.30341174980151</c:v>
                </c:pt>
                <c:pt idx="2">
                  <c:v>286.63715035920717</c:v>
                </c:pt>
                <c:pt idx="3">
                  <c:v>279.97094802802161</c:v>
                </c:pt>
                <c:pt idx="4">
                  <c:v>273.3048038271524</c:v>
                </c:pt>
                <c:pt idx="5">
                  <c:v>266.63871671119364</c:v>
                </c:pt>
                <c:pt idx="6">
                  <c:v>259.97268552051793</c:v>
                </c:pt>
                <c:pt idx="7">
                  <c:v>253.30670898359625</c:v>
                </c:pt>
                <c:pt idx="8">
                  <c:v>246.64078571954281</c:v>
                </c:pt>
                <c:pt idx="9">
                  <c:v>239.97491424087747</c:v>
                </c:pt>
                <c:pt idx="10">
                  <c:v>233.30909295650235</c:v>
                </c:pt>
                <c:pt idx="11">
                  <c:v>226.64332017488547</c:v>
                </c:pt>
                <c:pt idx="12">
                  <c:v>219.97759410744527</c:v>
                </c:pt>
                <c:pt idx="13">
                  <c:v>213.31191287212948</c:v>
                </c:pt>
                <c:pt idx="14">
                  <c:v>206.64627449718091</c:v>
                </c:pt>
                <c:pt idx="15">
                  <c:v>199.98067692508261</c:v>
                </c:pt>
                <c:pt idx="16">
                  <c:v>193.315118016675</c:v>
                </c:pt>
                <c:pt idx="17">
                  <c:v>186.64959555543589</c:v>
                </c:pt>
                <c:pt idx="18">
                  <c:v>179.98410725191587</c:v>
                </c:pt>
                <c:pt idx="19">
                  <c:v>173.31865074831893</c:v>
                </c:pt>
                <c:pt idx="20">
                  <c:v>166.65322362322038</c:v>
                </c:pt>
                <c:pt idx="21">
                  <c:v>159.98782339641184</c:v>
                </c:pt>
                <c:pt idx="22">
                  <c:v>153.32244753386399</c:v>
                </c:pt>
                <c:pt idx="23">
                  <c:v>146.65709345279686</c:v>
                </c:pt>
                <c:pt idx="24">
                  <c:v>139.99175852684766</c:v>
                </c:pt>
                <c:pt idx="25">
                  <c:v>133.32644009132613</c:v>
                </c:pt>
                <c:pt idx="26">
                  <c:v>126.66113544854606</c:v>
                </c:pt>
                <c:pt idx="27">
                  <c:v>119.99584187322327</c:v>
                </c:pt>
                <c:pt idx="28">
                  <c:v>113.33055661792865</c:v>
                </c:pt>
                <c:pt idx="29">
                  <c:v>106.66527691858546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466176"/>
        <c:axId val="113451008"/>
      </c:scatterChart>
      <c:valAx>
        <c:axId val="112466176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113451008"/>
        <c:crosses val="autoZero"/>
        <c:crossBetween val="midCat"/>
      </c:valAx>
      <c:valAx>
        <c:axId val="113451008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112466176"/>
        <c:crosses val="autoZero"/>
        <c:crossBetween val="midCat"/>
      </c:val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18</xdr:row>
      <xdr:rowOff>0</xdr:rowOff>
    </xdr:from>
    <xdr:to>
      <xdr:col>16</xdr:col>
      <xdr:colOff>319768</xdr:colOff>
      <xdr:row>48</xdr:row>
      <xdr:rowOff>122464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0.00243</cdr:x>
      <cdr:y>0.00637</cdr:y>
    </cdr:from>
    <cdr:to>
      <cdr:x>0.10194</cdr:x>
      <cdr:y>0.06509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𝑻, [𝑪]</a:t>
              </a:r>
              <a:endParaRPr lang="ru-RU" sz="1600" b="1"/>
            </a:p>
          </cdr:txBody>
        </cdr:sp>
      </mc:Fallback>
    </mc:AlternateContent>
  </cdr:relSizeAnchor>
  <cdr:relSizeAnchor xmlns:cdr="http://schemas.openxmlformats.org/drawingml/2006/chartDrawing">
    <cdr:from>
      <cdr:x>0.87799</cdr:x>
      <cdr:y>0.92479</cdr:y>
    </cdr:from>
    <cdr:to>
      <cdr:x>0.98479</cdr:x>
      <cdr:y>0.98351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0" scaled="1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0" scaled="1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𝑳, [𝒎]</a:t>
              </a:r>
              <a:endParaRPr lang="ru-RU" sz="16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18</xdr:row>
      <xdr:rowOff>136071</xdr:rowOff>
    </xdr:from>
    <xdr:to>
      <xdr:col>14</xdr:col>
      <xdr:colOff>333375</xdr:colOff>
      <xdr:row>49</xdr:row>
      <xdr:rowOff>68035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0.00243</cdr:x>
      <cdr:y>0.00637</cdr:y>
    </cdr:from>
    <cdr:to>
      <cdr:x>0.10194</cdr:x>
      <cdr:y>0.06509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𝑻, [𝑪]</a:t>
              </a:r>
              <a:endParaRPr lang="ru-RU" sz="1600" b="1"/>
            </a:p>
          </cdr:txBody>
        </cdr:sp>
      </mc:Fallback>
    </mc:AlternateContent>
  </cdr:relSizeAnchor>
  <cdr:relSizeAnchor xmlns:cdr="http://schemas.openxmlformats.org/drawingml/2006/chartDrawing">
    <cdr:from>
      <cdr:x>0.87799</cdr:x>
      <cdr:y>0.92479</cdr:y>
    </cdr:from>
    <cdr:to>
      <cdr:x>0.98479</cdr:x>
      <cdr:y>0.98351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𝑳, [𝒎]</a:t>
              </a:r>
              <a:endParaRPr lang="ru-RU" sz="1600" b="1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KR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Р_2 рода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3" tint="-0.249977111117893"/>
  </sheetPr>
  <dimension ref="B3:AJ17"/>
  <sheetViews>
    <sheetView tabSelected="1" zoomScale="60" zoomScaleNormal="60" workbookViewId="0">
      <selection activeCell="S39" sqref="S39"/>
    </sheetView>
  </sheetViews>
  <sheetFormatPr defaultRowHeight="15" x14ac:dyDescent="0.25"/>
  <cols>
    <col min="6" max="6" width="12" bestFit="1" customWidth="1"/>
  </cols>
  <sheetData>
    <row r="3" spans="2:36" x14ac:dyDescent="0.25">
      <c r="B3" s="2" t="s">
        <v>0</v>
      </c>
      <c r="C3" s="2">
        <v>0.1</v>
      </c>
      <c r="D3" s="1"/>
      <c r="E3" s="1"/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2:36" x14ac:dyDescent="0.25">
      <c r="B4" s="2" t="s">
        <v>1</v>
      </c>
      <c r="C4" s="5">
        <v>3.3333333333333335E-3</v>
      </c>
      <c r="D4" s="1"/>
      <c r="E4" s="1" t="s">
        <v>0</v>
      </c>
      <c r="F4" s="4">
        <v>0</v>
      </c>
      <c r="G4" s="4">
        <v>3.3333333333333335E-3</v>
      </c>
      <c r="H4" s="4">
        <v>6.6666666666666671E-3</v>
      </c>
      <c r="I4" s="4">
        <v>0.01</v>
      </c>
      <c r="J4" s="4">
        <v>1.3333333333333334E-2</v>
      </c>
      <c r="K4" s="4">
        <v>1.6666666666666666E-2</v>
      </c>
      <c r="L4" s="4">
        <v>0.02</v>
      </c>
      <c r="M4" s="4">
        <v>2.3333333333333334E-2</v>
      </c>
      <c r="N4" s="4">
        <v>2.6666666666666668E-2</v>
      </c>
      <c r="O4" s="4">
        <v>3.0000000000000002E-2</v>
      </c>
      <c r="P4" s="4">
        <v>3.3333333333333333E-2</v>
      </c>
      <c r="Q4" s="4">
        <v>3.6666666666666667E-2</v>
      </c>
      <c r="R4" s="4">
        <v>0.04</v>
      </c>
      <c r="S4" s="4">
        <v>4.3333333333333335E-2</v>
      </c>
      <c r="T4" s="4">
        <v>4.6666666666666669E-2</v>
      </c>
      <c r="U4" s="4">
        <v>0.05</v>
      </c>
      <c r="V4" s="4">
        <v>5.3333333333333337E-2</v>
      </c>
      <c r="W4" s="4">
        <v>5.6666666666666671E-2</v>
      </c>
      <c r="X4" s="4">
        <v>6.0000000000000005E-2</v>
      </c>
      <c r="Y4" s="4">
        <v>6.3333333333333339E-2</v>
      </c>
      <c r="Z4" s="4">
        <v>6.6666666666666666E-2</v>
      </c>
      <c r="AA4" s="4">
        <v>7.0000000000000007E-2</v>
      </c>
      <c r="AB4" s="4">
        <v>7.3333333333333334E-2</v>
      </c>
      <c r="AC4" s="4">
        <v>7.6666666666666675E-2</v>
      </c>
      <c r="AD4" s="4">
        <v>0.08</v>
      </c>
      <c r="AE4" s="4">
        <v>8.3333333333333343E-2</v>
      </c>
      <c r="AF4" s="4">
        <v>8.666666666666667E-2</v>
      </c>
      <c r="AG4" s="4">
        <v>9.0000000000000011E-2</v>
      </c>
      <c r="AH4" s="4">
        <v>9.3333333333333338E-2</v>
      </c>
      <c r="AI4" s="4">
        <v>9.6666666666666679E-2</v>
      </c>
      <c r="AJ4" s="4">
        <v>0.1</v>
      </c>
    </row>
    <row r="5" spans="2:36" x14ac:dyDescent="0.25">
      <c r="B5" s="2" t="s">
        <v>2</v>
      </c>
      <c r="C5" s="5">
        <v>5</v>
      </c>
      <c r="D5" s="1"/>
      <c r="E5" s="1" t="s">
        <v>3</v>
      </c>
      <c r="F5" s="1">
        <v>300</v>
      </c>
      <c r="G5" s="1">
        <v>293.32891828066874</v>
      </c>
      <c r="H5" s="1">
        <v>286.65788493357832</v>
      </c>
      <c r="I5" s="1">
        <v>279.98694780099339</v>
      </c>
      <c r="J5" s="1">
        <v>273.31615367103211</v>
      </c>
      <c r="K5" s="1">
        <v>266.6455477650461</v>
      </c>
      <c r="L5" s="1">
        <v>259.97517324216562</v>
      </c>
      <c r="M5" s="1">
        <v>253.30507072643934</v>
      </c>
      <c r="N5" s="1">
        <v>246.63527786174859</v>
      </c>
      <c r="O5" s="1">
        <v>239.96582889937309</v>
      </c>
      <c r="P5" s="1">
        <v>233.29675432272683</v>
      </c>
      <c r="Q5" s="1">
        <v>226.62808051337544</v>
      </c>
      <c r="R5" s="1">
        <v>219.95982946199422</v>
      </c>
      <c r="S5" s="1">
        <v>213.29201852743358</v>
      </c>
      <c r="T5" s="1">
        <v>206.62466024653207</v>
      </c>
      <c r="U5" s="1">
        <v>199.95776219675997</v>
      </c>
      <c r="V5" s="1">
        <v>193.29132691319904</v>
      </c>
      <c r="W5" s="1">
        <v>186.62535186076747</v>
      </c>
      <c r="X5" s="1">
        <v>179.95982946199504</v>
      </c>
      <c r="Y5" s="1">
        <v>173.2947471800432</v>
      </c>
      <c r="Z5" s="1">
        <v>166.63008765606148</v>
      </c>
      <c r="AA5" s="1">
        <v>159.96582889937454</v>
      </c>
      <c r="AB5" s="1">
        <v>153.30194452841681</v>
      </c>
      <c r="AC5" s="1">
        <v>146.63840405977425</v>
      </c>
      <c r="AD5" s="1">
        <v>139.97517324216707</v>
      </c>
      <c r="AE5" s="1">
        <v>133.31221443171404</v>
      </c>
      <c r="AF5" s="1">
        <v>126.64948700436656</v>
      </c>
      <c r="AG5" s="1">
        <v>119.98694780099426</v>
      </c>
      <c r="AH5" s="1">
        <v>113.32455160024561</v>
      </c>
      <c r="AI5" s="1">
        <v>106.66225161400237</v>
      </c>
      <c r="AJ5" s="1">
        <v>100</v>
      </c>
    </row>
    <row r="6" spans="2:36" x14ac:dyDescent="0.25">
      <c r="B6" s="2" t="s">
        <v>4</v>
      </c>
      <c r="C6" s="2">
        <v>1000</v>
      </c>
      <c r="D6" s="1">
        <v>710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2:36" x14ac:dyDescent="0.25">
      <c r="B7" s="1"/>
      <c r="C7" s="1"/>
      <c r="D7" s="1"/>
      <c r="E7" s="1" t="s">
        <v>5</v>
      </c>
      <c r="F7" s="1"/>
      <c r="G7" s="1">
        <f t="shared" ref="G7:AH7" si="0">G10*H7+G11</f>
        <v>293.32918076024424</v>
      </c>
      <c r="H7" s="1">
        <f t="shared" si="0"/>
        <v>286.65840701694822</v>
      </c>
      <c r="I7" s="1">
        <f t="shared" si="0"/>
        <v>279.98772376810291</v>
      </c>
      <c r="J7" s="1">
        <f t="shared" si="0"/>
        <v>273.31717502022326</v>
      </c>
      <c r="K7" s="1">
        <f t="shared" si="0"/>
        <v>266.64680330620337</v>
      </c>
      <c r="L7" s="1">
        <f t="shared" si="0"/>
        <v>259.97664921931744</v>
      </c>
      <c r="M7" s="1">
        <f t="shared" si="0"/>
        <v>253.30675096847111</v>
      </c>
      <c r="N7" s="1">
        <f t="shared" si="0"/>
        <v>246.63714395957703</v>
      </c>
      <c r="O7" s="1">
        <f t="shared" si="0"/>
        <v>239.96786040763985</v>
      </c>
      <c r="P7" s="1">
        <f t="shared" si="0"/>
        <v>233.29892898380223</v>
      </c>
      <c r="Q7" s="1">
        <f t="shared" si="0"/>
        <v>226.63037450121766</v>
      </c>
      <c r="R7" s="1">
        <f t="shared" si="0"/>
        <v>219.96221764319233</v>
      </c>
      <c r="S7" s="1">
        <f t="shared" si="0"/>
        <v>213.29447473657467</v>
      </c>
      <c r="T7" s="1">
        <f t="shared" si="0"/>
        <v>206.62715757287481</v>
      </c>
      <c r="U7" s="1">
        <f t="shared" si="0"/>
        <v>199.9602732790743</v>
      </c>
      <c r="V7" s="1">
        <f t="shared" si="0"/>
        <v>193.29382423954166</v>
      </c>
      <c r="W7" s="1">
        <f t="shared" si="0"/>
        <v>186.62780806990838</v>
      </c>
      <c r="X7" s="1">
        <f t="shared" si="0"/>
        <v>179.96221764319293</v>
      </c>
      <c r="Y7" s="1">
        <f t="shared" si="0"/>
        <v>173.29704116788508</v>
      </c>
      <c r="Z7" s="1">
        <f t="shared" si="0"/>
        <v>166.63226231713651</v>
      </c>
      <c r="AA7" s="1">
        <f t="shared" si="0"/>
        <v>159.96786040764093</v>
      </c>
      <c r="AB7" s="1">
        <f t="shared" si="0"/>
        <v>153.30381062624485</v>
      </c>
      <c r="AC7" s="1">
        <f t="shared" si="0"/>
        <v>146.64008430180567</v>
      </c>
      <c r="AD7" s="1">
        <f t="shared" si="0"/>
        <v>139.97664921931857</v>
      </c>
      <c r="AE7" s="1">
        <f t="shared" si="0"/>
        <v>133.31346997287108</v>
      </c>
      <c r="AF7" s="1">
        <f t="shared" si="0"/>
        <v>126.65050835355746</v>
      </c>
      <c r="AG7" s="1">
        <f t="shared" si="0"/>
        <v>119.98772376810356</v>
      </c>
      <c r="AH7" s="1">
        <f t="shared" si="0"/>
        <v>113.3250736836153</v>
      </c>
      <c r="AI7" s="1">
        <f>AI10*AJ7+AI11</f>
        <v>106.66251409357778</v>
      </c>
      <c r="AJ7" s="7">
        <v>100</v>
      </c>
    </row>
    <row r="8" spans="2:36" x14ac:dyDescent="0.25">
      <c r="B8" s="2" t="s">
        <v>6</v>
      </c>
      <c r="C8" s="2">
        <v>460</v>
      </c>
      <c r="D8" s="1"/>
      <c r="E8" s="1" t="s">
        <v>7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</row>
    <row r="9" spans="2:36" x14ac:dyDescent="0.25">
      <c r="B9" s="3" t="s">
        <v>8</v>
      </c>
      <c r="C9" s="2">
        <v>7800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2:36" x14ac:dyDescent="0.25">
      <c r="B10" s="3" t="s">
        <v>9</v>
      </c>
      <c r="C10" s="2">
        <v>46</v>
      </c>
      <c r="D10" s="1"/>
      <c r="E10" s="6" t="s">
        <v>16</v>
      </c>
      <c r="F10" s="1">
        <v>0</v>
      </c>
      <c r="G10" s="1">
        <f>$C$15/($C$16-$C$17*F10)</f>
        <v>0.46012269938650308</v>
      </c>
      <c r="H10" s="1">
        <f t="shared" ref="H10:AI10" si="1">$C$15/($C$16-$C$17*G10)</f>
        <v>0.58369938884644768</v>
      </c>
      <c r="I10" s="1">
        <f t="shared" si="1"/>
        <v>0.6290756456655735</v>
      </c>
      <c r="J10" s="1">
        <f t="shared" si="1"/>
        <v>0.64756031845324091</v>
      </c>
      <c r="K10" s="1">
        <f t="shared" si="1"/>
        <v>0.65540548315346114</v>
      </c>
      <c r="L10" s="1">
        <f t="shared" si="1"/>
        <v>0.65879284043803632</v>
      </c>
      <c r="M10" s="1">
        <f t="shared" si="1"/>
        <v>0.66026626867422533</v>
      </c>
      <c r="N10" s="1">
        <f t="shared" si="1"/>
        <v>0.66090923750646746</v>
      </c>
      <c r="O10" s="1">
        <f t="shared" si="1"/>
        <v>0.66119020634439474</v>
      </c>
      <c r="P10" s="1">
        <f t="shared" si="1"/>
        <v>0.66131306101377729</v>
      </c>
      <c r="Q10" s="1">
        <f t="shared" si="1"/>
        <v>0.66136679402183063</v>
      </c>
      <c r="R10" s="1">
        <f t="shared" si="1"/>
        <v>0.66139029799916438</v>
      </c>
      <c r="S10" s="1">
        <f t="shared" si="1"/>
        <v>0.66140057967129717</v>
      </c>
      <c r="T10" s="1">
        <f t="shared" si="1"/>
        <v>0.66140507742683052</v>
      </c>
      <c r="U10" s="1">
        <f t="shared" si="1"/>
        <v>0.66140704500587066</v>
      </c>
      <c r="V10" s="1">
        <f t="shared" si="1"/>
        <v>0.66140790574269959</v>
      </c>
      <c r="W10" s="1">
        <f t="shared" si="1"/>
        <v>0.66140828228120663</v>
      </c>
      <c r="X10" s="1">
        <f t="shared" si="1"/>
        <v>0.66140844700212786</v>
      </c>
      <c r="Y10" s="1">
        <f t="shared" si="1"/>
        <v>0.66140851906113662</v>
      </c>
      <c r="Z10" s="1">
        <f t="shared" si="1"/>
        <v>0.6614085505841607</v>
      </c>
      <c r="AA10" s="1">
        <f t="shared" si="1"/>
        <v>0.66140856437426321</v>
      </c>
      <c r="AB10" s="1">
        <f t="shared" si="1"/>
        <v>0.66140857040689915</v>
      </c>
      <c r="AC10" s="1">
        <f t="shared" si="1"/>
        <v>0.66140857304594403</v>
      </c>
      <c r="AD10" s="1">
        <f t="shared" si="1"/>
        <v>0.66140857420042398</v>
      </c>
      <c r="AE10" s="1">
        <f t="shared" si="1"/>
        <v>0.66140857470546432</v>
      </c>
      <c r="AF10" s="1">
        <f t="shared" si="1"/>
        <v>0.66140857492639993</v>
      </c>
      <c r="AG10" s="1">
        <f t="shared" si="1"/>
        <v>0.66140857502305062</v>
      </c>
      <c r="AH10" s="1">
        <f t="shared" si="1"/>
        <v>0.66140857506533157</v>
      </c>
      <c r="AI10" s="1">
        <f t="shared" si="1"/>
        <v>0.66140857508382789</v>
      </c>
      <c r="AJ10" s="1"/>
    </row>
    <row r="11" spans="2:36" x14ac:dyDescent="0.25">
      <c r="E11" s="6" t="s">
        <v>17</v>
      </c>
      <c r="F11">
        <f>F5</f>
        <v>300</v>
      </c>
      <c r="G11">
        <f>(F11*$C$17-G12)/($C$16-$C$17*F10)</f>
        <v>161.43114072177113</v>
      </c>
      <c r="H11" s="1">
        <f t="shared" ref="H11:AI11" si="2">(G11*$C$17-H12)/($C$16-$C$17*G10)</f>
        <v>123.22974376899852</v>
      </c>
      <c r="I11" s="1">
        <f t="shared" si="2"/>
        <v>108.0505454207654</v>
      </c>
      <c r="J11" s="1">
        <f t="shared" si="2"/>
        <v>100.64728615671949</v>
      </c>
      <c r="K11" s="1">
        <f t="shared" si="2"/>
        <v>96.25668191599874</v>
      </c>
      <c r="L11" s="1">
        <f t="shared" si="2"/>
        <v>93.099975246668052</v>
      </c>
      <c r="M11" s="1">
        <f t="shared" si="2"/>
        <v>90.460564209813441</v>
      </c>
      <c r="N11" s="1">
        <f t="shared" si="2"/>
        <v>88.040168311505354</v>
      </c>
      <c r="O11" s="1">
        <f t="shared" si="2"/>
        <v>85.71289341291336</v>
      </c>
      <c r="P11" s="1">
        <f t="shared" si="2"/>
        <v>83.425302303703276</v>
      </c>
      <c r="Q11" s="1">
        <f t="shared" si="2"/>
        <v>81.154667812607372</v>
      </c>
      <c r="R11" s="1">
        <f t="shared" si="2"/>
        <v>78.891321435593966</v>
      </c>
      <c r="S11" s="1">
        <f t="shared" si="2"/>
        <v>76.631152942042803</v>
      </c>
      <c r="T11" s="1">
        <f t="shared" si="2"/>
        <v>74.37241754243847</v>
      </c>
      <c r="U11" s="1">
        <f t="shared" si="2"/>
        <v>72.114376170914909</v>
      </c>
      <c r="V11" s="1">
        <f t="shared" si="2"/>
        <v>69.856716550673056</v>
      </c>
      <c r="W11" s="1">
        <f t="shared" si="2"/>
        <v>67.599306823007495</v>
      </c>
      <c r="X11" s="1">
        <f t="shared" si="2"/>
        <v>65.342090774278233</v>
      </c>
      <c r="Y11" s="1">
        <f t="shared" si="2"/>
        <v>63.085043320900979</v>
      </c>
      <c r="Z11" s="1">
        <f t="shared" si="2"/>
        <v>60.828151624869363</v>
      </c>
      <c r="AA11" s="1">
        <f t="shared" si="2"/>
        <v>58.571407108232407</v>
      </c>
      <c r="AB11" s="1">
        <f t="shared" si="2"/>
        <v>56.314802103840393</v>
      </c>
      <c r="AC11" s="1">
        <f t="shared" si="2"/>
        <v>54.058328481903509</v>
      </c>
      <c r="AD11" s="1">
        <f t="shared" si="2"/>
        <v>51.801977122850872</v>
      </c>
      <c r="AE11" s="1">
        <f t="shared" si="2"/>
        <v>49.545737757022131</v>
      </c>
      <c r="AF11" s="1">
        <f t="shared" si="2"/>
        <v>47.289598967433541</v>
      </c>
      <c r="AG11" s="1">
        <f t="shared" si="2"/>
        <v>45.033548268641354</v>
      </c>
      <c r="AH11" s="1">
        <f t="shared" si="2"/>
        <v>42.777572224096168</v>
      </c>
      <c r="AI11" s="1">
        <f t="shared" si="2"/>
        <v>40.521656585194989</v>
      </c>
    </row>
    <row r="12" spans="2:36" x14ac:dyDescent="0.25">
      <c r="B12" s="2" t="s">
        <v>12</v>
      </c>
      <c r="C12" s="2">
        <v>300</v>
      </c>
      <c r="D12" s="1"/>
      <c r="E12" s="6" t="s">
        <v>18</v>
      </c>
      <c r="F12" s="1">
        <f>-(($C$9*$C$8)/$C$5)*F5</f>
        <v>-215280000</v>
      </c>
      <c r="G12" s="1">
        <f t="shared" ref="G12:AI12" si="3">-(($C$9*$C$8)/$C$5)*G5</f>
        <v>-210492831.75820789</v>
      </c>
      <c r="H12" s="1">
        <f t="shared" si="3"/>
        <v>-205705698.2283358</v>
      </c>
      <c r="I12" s="1">
        <f t="shared" si="3"/>
        <v>-200918633.74199286</v>
      </c>
      <c r="J12" s="1">
        <f t="shared" si="3"/>
        <v>-196131671.87433264</v>
      </c>
      <c r="K12" s="1">
        <f t="shared" si="3"/>
        <v>-191344845.07619709</v>
      </c>
      <c r="L12" s="1">
        <f t="shared" si="3"/>
        <v>-186558184.31857806</v>
      </c>
      <c r="M12" s="1">
        <f t="shared" si="3"/>
        <v>-181771718.75329286</v>
      </c>
      <c r="N12" s="1">
        <f t="shared" si="3"/>
        <v>-176985475.39359078</v>
      </c>
      <c r="O12" s="1">
        <f t="shared" si="3"/>
        <v>-172199478.81819013</v>
      </c>
      <c r="P12" s="1">
        <f t="shared" si="3"/>
        <v>-167413750.90198877</v>
      </c>
      <c r="Q12" s="1">
        <f t="shared" si="3"/>
        <v>-162628310.57639822</v>
      </c>
      <c r="R12" s="1">
        <f t="shared" si="3"/>
        <v>-157843173.62192705</v>
      </c>
      <c r="S12" s="1">
        <f t="shared" si="3"/>
        <v>-153058352.49528635</v>
      </c>
      <c r="T12" s="1">
        <f t="shared" si="3"/>
        <v>-148273856.19291142</v>
      </c>
      <c r="U12" s="1">
        <f t="shared" si="3"/>
        <v>-143489690.15239495</v>
      </c>
      <c r="V12" s="1">
        <f t="shared" si="3"/>
        <v>-138705856.19291162</v>
      </c>
      <c r="W12" s="1">
        <f t="shared" si="3"/>
        <v>-133922352.49528673</v>
      </c>
      <c r="X12" s="1">
        <f t="shared" si="3"/>
        <v>-129139173.62192765</v>
      </c>
      <c r="Y12" s="1">
        <f t="shared" si="3"/>
        <v>-124356310.576399</v>
      </c>
      <c r="Z12" s="1">
        <f t="shared" si="3"/>
        <v>-119573750.90198971</v>
      </c>
      <c r="AA12" s="1">
        <f t="shared" si="3"/>
        <v>-114791478.81819117</v>
      </c>
      <c r="AB12" s="1">
        <f t="shared" si="3"/>
        <v>-110009475.39359191</v>
      </c>
      <c r="AC12" s="1">
        <f t="shared" si="3"/>
        <v>-105227718.75329401</v>
      </c>
      <c r="AD12" s="1">
        <f t="shared" si="3"/>
        <v>-100446184.31857909</v>
      </c>
      <c r="AE12" s="1">
        <f t="shared" si="3"/>
        <v>-95664845.076197997</v>
      </c>
      <c r="AF12" s="1">
        <f t="shared" si="3"/>
        <v>-90883671.874333441</v>
      </c>
      <c r="AG12" s="1">
        <f t="shared" si="3"/>
        <v>-86102633.741993487</v>
      </c>
      <c r="AH12" s="1">
        <f t="shared" si="3"/>
        <v>-81321698.228336245</v>
      </c>
      <c r="AI12" s="1">
        <f t="shared" si="3"/>
        <v>-76540831.758208096</v>
      </c>
      <c r="AJ12" s="1"/>
    </row>
    <row r="13" spans="2:36" x14ac:dyDescent="0.25">
      <c r="B13" s="2" t="s">
        <v>11</v>
      </c>
      <c r="C13" s="2">
        <v>100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5" spans="2:36" x14ac:dyDescent="0.25">
      <c r="B15" t="s">
        <v>13</v>
      </c>
      <c r="C15">
        <f>C10/(C4^2)</f>
        <v>4139999.9999999991</v>
      </c>
    </row>
    <row r="16" spans="2:36" x14ac:dyDescent="0.25">
      <c r="B16" t="s">
        <v>14</v>
      </c>
      <c r="C16">
        <f>(2*C10)/(C4^2)+(C9*C8)/C5</f>
        <v>8997599.9999999981</v>
      </c>
    </row>
    <row r="17" spans="2:3" x14ac:dyDescent="0.25">
      <c r="B17" t="s">
        <v>15</v>
      </c>
      <c r="C17">
        <f>C15</f>
        <v>4139999.9999999991</v>
      </c>
    </row>
  </sheetData>
  <conditionalFormatting sqref="F5:AJ5">
    <cfRule type="colorScale" priority="1">
      <colorScale>
        <cfvo type="min"/>
        <cfvo type="max"/>
        <color rgb="FF00B0F0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46"/>
  <sheetViews>
    <sheetView topLeftCell="B1" zoomScale="70" zoomScaleNormal="70" workbookViewId="0">
      <selection activeCell="T41" sqref="T41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  <c r="D3" s="1"/>
      <c r="E3" s="1"/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2:36" x14ac:dyDescent="0.25">
      <c r="B4" s="2" t="s">
        <v>1</v>
      </c>
      <c r="C4" s="5">
        <v>3.3333333333333335E-3</v>
      </c>
      <c r="D4" s="1"/>
      <c r="E4" s="1" t="s">
        <v>0</v>
      </c>
      <c r="F4" s="4">
        <v>0</v>
      </c>
      <c r="G4" s="4">
        <v>3.3333333333333335E-3</v>
      </c>
      <c r="H4" s="4">
        <v>6.6666666666666671E-3</v>
      </c>
      <c r="I4" s="4">
        <v>0.01</v>
      </c>
      <c r="J4" s="4">
        <v>1.3333333333333334E-2</v>
      </c>
      <c r="K4" s="4">
        <v>1.6666666666666666E-2</v>
      </c>
      <c r="L4" s="4">
        <v>0.02</v>
      </c>
      <c r="M4" s="4">
        <v>2.3333333333333334E-2</v>
      </c>
      <c r="N4" s="4">
        <v>2.6666666666666668E-2</v>
      </c>
      <c r="O4" s="4">
        <v>3.0000000000000002E-2</v>
      </c>
      <c r="P4" s="4">
        <v>3.3333333333333333E-2</v>
      </c>
      <c r="Q4" s="4">
        <v>3.6666666666666667E-2</v>
      </c>
      <c r="R4" s="4">
        <v>0.04</v>
      </c>
      <c r="S4" s="4">
        <v>4.3333333333333335E-2</v>
      </c>
      <c r="T4" s="4">
        <v>4.6666666666666669E-2</v>
      </c>
      <c r="U4" s="4">
        <v>0.05</v>
      </c>
      <c r="V4" s="4">
        <v>5.3333333333333337E-2</v>
      </c>
      <c r="W4" s="4">
        <v>5.6666666666666671E-2</v>
      </c>
      <c r="X4" s="4">
        <v>6.0000000000000005E-2</v>
      </c>
      <c r="Y4" s="4">
        <v>6.3333333333333339E-2</v>
      </c>
      <c r="Z4" s="4">
        <v>6.6666666666666666E-2</v>
      </c>
      <c r="AA4" s="4">
        <v>7.0000000000000007E-2</v>
      </c>
      <c r="AB4" s="4">
        <v>7.3333333333333334E-2</v>
      </c>
      <c r="AC4" s="4">
        <v>7.6666666666666675E-2</v>
      </c>
      <c r="AD4" s="4">
        <v>0.08</v>
      </c>
      <c r="AE4" s="4">
        <v>8.3333333333333343E-2</v>
      </c>
      <c r="AF4" s="4">
        <v>8.666666666666667E-2</v>
      </c>
      <c r="AG4" s="4">
        <v>9.0000000000000011E-2</v>
      </c>
      <c r="AH4" s="4">
        <v>9.3333333333333338E-2</v>
      </c>
      <c r="AI4" s="4">
        <v>9.6666666666666679E-2</v>
      </c>
      <c r="AJ4" s="4">
        <v>0.1</v>
      </c>
    </row>
    <row r="5" spans="2:36" x14ac:dyDescent="0.25">
      <c r="B5" s="2" t="s">
        <v>2</v>
      </c>
      <c r="C5" s="5">
        <v>5</v>
      </c>
      <c r="D5" s="1"/>
      <c r="E5" s="1" t="s">
        <v>3</v>
      </c>
      <c r="F5" s="1">
        <f>(F8/C10)*C4+G5</f>
        <v>299.9700784164682</v>
      </c>
      <c r="G5" s="1">
        <v>293.30341174980151</v>
      </c>
      <c r="H5" s="1">
        <v>286.63715035920717</v>
      </c>
      <c r="I5" s="1">
        <v>279.97094802802161</v>
      </c>
      <c r="J5" s="1">
        <v>273.3048038271524</v>
      </c>
      <c r="K5" s="1">
        <v>266.63871671119364</v>
      </c>
      <c r="L5" s="1">
        <v>259.97268552051793</v>
      </c>
      <c r="M5" s="1">
        <v>253.30670898359625</v>
      </c>
      <c r="N5" s="1">
        <v>246.64078571954281</v>
      </c>
      <c r="O5" s="1">
        <v>239.97491424087747</v>
      </c>
      <c r="P5" s="1">
        <v>233.30909295650235</v>
      </c>
      <c r="Q5" s="1">
        <v>226.64332017488547</v>
      </c>
      <c r="R5" s="1">
        <v>219.97759410744527</v>
      </c>
      <c r="S5" s="1">
        <v>213.31191287212948</v>
      </c>
      <c r="T5" s="1">
        <v>206.64627449718091</v>
      </c>
      <c r="U5" s="1">
        <v>199.98067692508261</v>
      </c>
      <c r="V5" s="1">
        <v>193.315118016675</v>
      </c>
      <c r="W5" s="1">
        <v>186.64959555543589</v>
      </c>
      <c r="X5" s="1">
        <v>179.98410725191587</v>
      </c>
      <c r="Y5" s="1">
        <v>173.31865074831893</v>
      </c>
      <c r="Z5" s="1">
        <v>166.65322362322038</v>
      </c>
      <c r="AA5" s="1">
        <v>159.98782339641184</v>
      </c>
      <c r="AB5" s="1">
        <v>153.32244753386399</v>
      </c>
      <c r="AC5" s="1">
        <v>146.65709345279686</v>
      </c>
      <c r="AD5" s="1">
        <v>139.99175852684766</v>
      </c>
      <c r="AE5" s="1">
        <v>133.32644009132613</v>
      </c>
      <c r="AF5" s="1">
        <v>126.66113544854606</v>
      </c>
      <c r="AG5" s="1">
        <v>119.99584187322327</v>
      </c>
      <c r="AH5" s="1">
        <v>113.33055661792865</v>
      </c>
      <c r="AI5" s="1">
        <v>106.66527691858546</v>
      </c>
      <c r="AJ5" s="1">
        <v>100</v>
      </c>
    </row>
    <row r="6" spans="2:36" x14ac:dyDescent="0.25">
      <c r="B6" s="2" t="s">
        <v>4</v>
      </c>
      <c r="C6" s="2">
        <v>1500</v>
      </c>
      <c r="D6" s="1">
        <v>1505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2:36" x14ac:dyDescent="0.25">
      <c r="B7" s="1"/>
      <c r="C7" s="1"/>
      <c r="D7" s="1"/>
      <c r="E7" s="1" t="s">
        <v>5</v>
      </c>
      <c r="F7" s="1"/>
      <c r="G7" s="1">
        <f t="shared" ref="G7:AH7" si="0">G10*H7+G11</f>
        <v>293.30375321378762</v>
      </c>
      <c r="H7" s="1">
        <f t="shared" si="0"/>
        <v>286.63748719819796</v>
      </c>
      <c r="I7" s="1">
        <f t="shared" si="0"/>
        <v>279.97127956803337</v>
      </c>
      <c r="J7" s="1">
        <f t="shared" si="0"/>
        <v>273.30512940480412</v>
      </c>
      <c r="K7" s="1">
        <f t="shared" si="0"/>
        <v>266.63903567503456</v>
      </c>
      <c r="L7" s="1">
        <f t="shared" si="0"/>
        <v>259.97299723233073</v>
      </c>
      <c r="M7" s="1">
        <f t="shared" si="0"/>
        <v>253.30701281967436</v>
      </c>
      <c r="N7" s="1">
        <f t="shared" si="0"/>
        <v>246.64108107193823</v>
      </c>
      <c r="O7" s="1">
        <f t="shared" si="0"/>
        <v>239.97520051861733</v>
      </c>
      <c r="P7" s="1">
        <f t="shared" si="0"/>
        <v>233.30936958677125</v>
      </c>
      <c r="Q7" s="1">
        <f t="shared" si="0"/>
        <v>226.64358660417179</v>
      </c>
      <c r="R7" s="1">
        <f t="shared" si="0"/>
        <v>219.97784980264856</v>
      </c>
      <c r="S7" s="1">
        <f t="shared" si="0"/>
        <v>213.31215732162727</v>
      </c>
      <c r="T7" s="1">
        <f t="shared" si="0"/>
        <v>206.64650721185228</v>
      </c>
      <c r="U7" s="1">
        <f t="shared" si="0"/>
        <v>199.98089743928693</v>
      </c>
      <c r="V7" s="1">
        <f t="shared" si="0"/>
        <v>193.31532588918373</v>
      </c>
      <c r="W7" s="1">
        <f t="shared" si="0"/>
        <v>186.64979037031534</v>
      </c>
      <c r="X7" s="1">
        <f t="shared" si="0"/>
        <v>179.9842886193594</v>
      </c>
      <c r="Y7" s="1">
        <f t="shared" si="0"/>
        <v>173.31881830542702</v>
      </c>
      <c r="Z7" s="1">
        <f t="shared" si="0"/>
        <v>166.6533770347267</v>
      </c>
      <c r="AA7" s="1">
        <f t="shared" si="0"/>
        <v>159.98796235535411</v>
      </c>
      <c r="AB7" s="1">
        <f t="shared" si="0"/>
        <v>153.32257176219818</v>
      </c>
      <c r="AC7" s="1">
        <f t="shared" si="0"/>
        <v>146.65720270195351</v>
      </c>
      <c r="AD7" s="1">
        <f t="shared" si="0"/>
        <v>139.99185257822936</v>
      </c>
      <c r="AE7" s="1">
        <f t="shared" si="0"/>
        <v>133.32651875674469</v>
      </c>
      <c r="AF7" s="1">
        <f t="shared" si="0"/>
        <v>126.66119857059925</v>
      </c>
      <c r="AG7" s="1">
        <f t="shared" si="0"/>
        <v>119.99588932560968</v>
      </c>
      <c r="AH7" s="1">
        <f t="shared" si="0"/>
        <v>113.33058830570045</v>
      </c>
      <c r="AI7" s="1">
        <f>AI10*AJ7+AI11</f>
        <v>106.66529277833831</v>
      </c>
      <c r="AJ7" s="7">
        <v>100</v>
      </c>
    </row>
    <row r="8" spans="2:36" x14ac:dyDescent="0.25">
      <c r="B8" s="2" t="s">
        <v>6</v>
      </c>
      <c r="C8" s="2">
        <v>460</v>
      </c>
      <c r="D8" s="1"/>
      <c r="E8" s="1" t="s">
        <v>7</v>
      </c>
      <c r="F8" s="1">
        <v>92000</v>
      </c>
      <c r="G8" s="1">
        <f>-$C$10*((G5-F5)/$C$4)</f>
        <v>92000.000000000247</v>
      </c>
      <c r="H8" s="1">
        <f t="shared" ref="H8:AJ8" si="1">-$C$10*((H5-G5)/$C$4)</f>
        <v>91994.40719020192</v>
      </c>
      <c r="I8" s="1">
        <f t="shared" si="1"/>
        <v>91993.592170360702</v>
      </c>
      <c r="J8" s="1">
        <f t="shared" si="1"/>
        <v>91992.789971995109</v>
      </c>
      <c r="K8" s="1">
        <f t="shared" si="1"/>
        <v>91992.002200230883</v>
      </c>
      <c r="L8" s="1">
        <f t="shared" si="1"/>
        <v>91991.230431324788</v>
      </c>
      <c r="M8" s="1">
        <f t="shared" si="1"/>
        <v>91990.476209519111</v>
      </c>
      <c r="N8" s="1">
        <f t="shared" si="1"/>
        <v>91989.741043937553</v>
      </c>
      <c r="O8" s="1">
        <f t="shared" si="1"/>
        <v>91989.026405581651</v>
      </c>
      <c r="P8" s="1">
        <f t="shared" si="1"/>
        <v>91988.333724376542</v>
      </c>
      <c r="Q8" s="1">
        <f t="shared" si="1"/>
        <v>91987.664386312943</v>
      </c>
      <c r="R8" s="1">
        <f t="shared" si="1"/>
        <v>91987.019730674801</v>
      </c>
      <c r="S8" s="1">
        <f t="shared" si="1"/>
        <v>91986.401047357853</v>
      </c>
      <c r="T8" s="1">
        <f t="shared" si="1"/>
        <v>91985.809574290266</v>
      </c>
      <c r="U8" s="1">
        <f t="shared" si="1"/>
        <v>91985.24649495662</v>
      </c>
      <c r="V8" s="1">
        <f t="shared" si="1"/>
        <v>91984.712936024924</v>
      </c>
      <c r="W8" s="1">
        <f t="shared" si="1"/>
        <v>91984.209965099668</v>
      </c>
      <c r="X8" s="1">
        <f t="shared" si="1"/>
        <v>91983.738588576292</v>
      </c>
      <c r="Y8" s="1">
        <f t="shared" si="1"/>
        <v>91983.299749637794</v>
      </c>
      <c r="Z8" s="1">
        <f t="shared" si="1"/>
        <v>91982.894326359936</v>
      </c>
      <c r="AA8" s="1">
        <f t="shared" si="1"/>
        <v>91982.523129957888</v>
      </c>
      <c r="AB8" s="1">
        <f t="shared" si="1"/>
        <v>91982.186903160284</v>
      </c>
      <c r="AC8" s="1">
        <f t="shared" si="1"/>
        <v>91981.886318726465</v>
      </c>
      <c r="AD8" s="1">
        <f t="shared" si="1"/>
        <v>91981.62197809889</v>
      </c>
      <c r="AE8" s="1">
        <f t="shared" si="1"/>
        <v>91981.39441019707</v>
      </c>
      <c r="AF8" s="1">
        <f t="shared" si="1"/>
        <v>91981.204070364984</v>
      </c>
      <c r="AG8" s="1">
        <f t="shared" si="1"/>
        <v>91981.051339454527</v>
      </c>
      <c r="AH8" s="1">
        <f t="shared" si="1"/>
        <v>91980.936523065757</v>
      </c>
      <c r="AI8" s="1">
        <f>-$C$10*((AI5-AH5)/$C$4)</f>
        <v>91980.859850935987</v>
      </c>
      <c r="AJ8" s="1">
        <f t="shared" si="1"/>
        <v>91980.821476479367</v>
      </c>
    </row>
    <row r="9" spans="2:36" x14ac:dyDescent="0.25">
      <c r="B9" s="3" t="s">
        <v>8</v>
      </c>
      <c r="C9" s="2">
        <v>7800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2:36" x14ac:dyDescent="0.25">
      <c r="B10" s="3" t="s">
        <v>9</v>
      </c>
      <c r="C10" s="2">
        <v>46</v>
      </c>
      <c r="D10" s="1"/>
      <c r="E10" s="6" t="s">
        <v>16</v>
      </c>
      <c r="F10" s="1">
        <v>0</v>
      </c>
      <c r="G10" s="1">
        <f>$C$15/($C$16-$C$17*F10)</f>
        <v>0.46012269938650308</v>
      </c>
      <c r="H10" s="1">
        <f t="shared" ref="H10:AI10" si="2">$C$15/($C$16-$C$17*G10)</f>
        <v>0.58369938884644768</v>
      </c>
      <c r="I10" s="1">
        <f t="shared" si="2"/>
        <v>0.6290756456655735</v>
      </c>
      <c r="J10" s="1">
        <f t="shared" si="2"/>
        <v>0.64756031845324091</v>
      </c>
      <c r="K10" s="1">
        <f t="shared" si="2"/>
        <v>0.65540548315346114</v>
      </c>
      <c r="L10" s="1">
        <f t="shared" si="2"/>
        <v>0.65879284043803632</v>
      </c>
      <c r="M10" s="1">
        <f t="shared" si="2"/>
        <v>0.66026626867422533</v>
      </c>
      <c r="N10" s="1">
        <f t="shared" si="2"/>
        <v>0.66090923750646746</v>
      </c>
      <c r="O10" s="1">
        <f t="shared" si="2"/>
        <v>0.66119020634439474</v>
      </c>
      <c r="P10" s="1">
        <f t="shared" si="2"/>
        <v>0.66131306101377729</v>
      </c>
      <c r="Q10" s="1">
        <f t="shared" si="2"/>
        <v>0.66136679402183063</v>
      </c>
      <c r="R10" s="1">
        <f t="shared" si="2"/>
        <v>0.66139029799916438</v>
      </c>
      <c r="S10" s="1">
        <f t="shared" si="2"/>
        <v>0.66140057967129717</v>
      </c>
      <c r="T10" s="1">
        <f t="shared" si="2"/>
        <v>0.66140507742683052</v>
      </c>
      <c r="U10" s="1">
        <f t="shared" si="2"/>
        <v>0.66140704500587066</v>
      </c>
      <c r="V10" s="1">
        <f t="shared" si="2"/>
        <v>0.66140790574269959</v>
      </c>
      <c r="W10" s="1">
        <f t="shared" si="2"/>
        <v>0.66140828228120663</v>
      </c>
      <c r="X10" s="1">
        <f t="shared" si="2"/>
        <v>0.66140844700212786</v>
      </c>
      <c r="Y10" s="1">
        <f t="shared" si="2"/>
        <v>0.66140851906113662</v>
      </c>
      <c r="Z10" s="1">
        <f t="shared" si="2"/>
        <v>0.6614085505841607</v>
      </c>
      <c r="AA10" s="1">
        <f t="shared" si="2"/>
        <v>0.66140856437426321</v>
      </c>
      <c r="AB10" s="1">
        <f t="shared" si="2"/>
        <v>0.66140857040689915</v>
      </c>
      <c r="AC10" s="1">
        <f t="shared" si="2"/>
        <v>0.66140857304594403</v>
      </c>
      <c r="AD10" s="1">
        <f t="shared" si="2"/>
        <v>0.66140857420042398</v>
      </c>
      <c r="AE10" s="1">
        <f t="shared" si="2"/>
        <v>0.66140857470546432</v>
      </c>
      <c r="AF10" s="1">
        <f t="shared" si="2"/>
        <v>0.66140857492639993</v>
      </c>
      <c r="AG10" s="1">
        <f t="shared" si="2"/>
        <v>0.66140857502305062</v>
      </c>
      <c r="AH10" s="1">
        <f t="shared" si="2"/>
        <v>0.66140857506533157</v>
      </c>
      <c r="AI10" s="1">
        <f t="shared" si="2"/>
        <v>0.66140857508382789</v>
      </c>
      <c r="AJ10" s="1"/>
    </row>
    <row r="11" spans="2:36" x14ac:dyDescent="0.25">
      <c r="B11" s="8" t="s">
        <v>10</v>
      </c>
      <c r="C11" s="7">
        <v>92000</v>
      </c>
      <c r="D11" s="1"/>
      <c r="E11" s="6" t="s">
        <v>17</v>
      </c>
      <c r="F11" s="1">
        <f>F5</f>
        <v>299.9700784164682</v>
      </c>
      <c r="G11" s="1">
        <f>(F11*$C$17-G12)/($C$16-$C$17*F10)</f>
        <v>161.41533885878854</v>
      </c>
      <c r="H11" s="1">
        <f t="shared" ref="H11:AI11" si="3">(G11*$C$17-H12)/($C$16-$C$17*G10)</f>
        <v>123.21842241977893</v>
      </c>
      <c r="I11" s="1">
        <f t="shared" si="3"/>
        <v>108.04167882399308</v>
      </c>
      <c r="J11" s="1">
        <f t="shared" si="3"/>
        <v>100.64027055101371</v>
      </c>
      <c r="K11" s="1">
        <f t="shared" si="3"/>
        <v>96.251307817125436</v>
      </c>
      <c r="L11" s="1">
        <f t="shared" si="3"/>
        <v>93.096150753983352</v>
      </c>
      <c r="M11" s="1">
        <f t="shared" si="3"/>
        <v>90.458226518528591</v>
      </c>
      <c r="N11" s="1">
        <f t="shared" si="3"/>
        <v>88.03925427671723</v>
      </c>
      <c r="O11" s="1">
        <f t="shared" si="3"/>
        <v>85.713330299459372</v>
      </c>
      <c r="P11" s="1">
        <f t="shared" si="3"/>
        <v>83.427005570425266</v>
      </c>
      <c r="Q11" s="1">
        <f t="shared" si="3"/>
        <v>81.1575413243783</v>
      </c>
      <c r="R11" s="1">
        <f t="shared" si="3"/>
        <v>78.89525850485289</v>
      </c>
      <c r="S11" s="1">
        <f t="shared" si="3"/>
        <v>76.636037664659284</v>
      </c>
      <c r="T11" s="1">
        <f t="shared" si="3"/>
        <v>74.378126257133644</v>
      </c>
      <c r="U11" s="1">
        <f t="shared" si="3"/>
        <v>72.12077898857504</v>
      </c>
      <c r="V11" s="1">
        <f t="shared" si="3"/>
        <v>69.863678933039566</v>
      </c>
      <c r="W11" s="1">
        <f t="shared" si="3"/>
        <v>67.606691196979909</v>
      </c>
      <c r="X11" s="1">
        <f t="shared" si="3"/>
        <v>65.349758167722953</v>
      </c>
      <c r="Y11" s="1">
        <f t="shared" si="3"/>
        <v>63.0928550043512</v>
      </c>
      <c r="Z11" s="1">
        <f t="shared" si="3"/>
        <v>60.835970742358654</v>
      </c>
      <c r="AA11" s="1">
        <f t="shared" si="3"/>
        <v>58.579100279948669</v>
      </c>
      <c r="AB11" s="1">
        <f t="shared" si="3"/>
        <v>56.322240983224269</v>
      </c>
      <c r="AC11" s="1">
        <f t="shared" si="3"/>
        <v>54.065391250128684</v>
      </c>
      <c r="AD11" s="1">
        <f t="shared" si="3"/>
        <v>51.808549904224769</v>
      </c>
      <c r="AE11" s="1">
        <f t="shared" si="3"/>
        <v>49.551715939678857</v>
      </c>
      <c r="AF11" s="1">
        <f t="shared" si="3"/>
        <v>47.294888414721754</v>
      </c>
      <c r="AG11" s="1">
        <f t="shared" si="3"/>
        <v>45.038066407812359</v>
      </c>
      <c r="AH11" s="1">
        <f t="shared" si="3"/>
        <v>42.781249000253297</v>
      </c>
      <c r="AI11" s="1">
        <f t="shared" si="3"/>
        <v>40.524435269955518</v>
      </c>
      <c r="AJ11" s="1"/>
    </row>
    <row r="12" spans="2:36" x14ac:dyDescent="0.25">
      <c r="B12" s="2" t="s">
        <v>12</v>
      </c>
      <c r="C12" s="2">
        <v>300</v>
      </c>
      <c r="D12" s="1"/>
      <c r="E12" s="6" t="s">
        <v>18</v>
      </c>
      <c r="F12" s="1">
        <f>-(($C$9*$C$8)/$C$5)*F5</f>
        <v>-215258528.27165759</v>
      </c>
      <c r="G12" s="1">
        <f t="shared" ref="G12:AI12" si="4">-(($C$9*$C$8)/$C$5)*G5</f>
        <v>-210474528.27165756</v>
      </c>
      <c r="H12" s="1">
        <f t="shared" si="4"/>
        <v>-205690819.09776706</v>
      </c>
      <c r="I12" s="1">
        <f t="shared" si="4"/>
        <v>-200907152.30490831</v>
      </c>
      <c r="J12" s="1">
        <f t="shared" si="4"/>
        <v>-196123527.22636455</v>
      </c>
      <c r="K12" s="1">
        <f t="shared" si="4"/>
        <v>-191339943.11195254</v>
      </c>
      <c r="L12" s="1">
        <f t="shared" si="4"/>
        <v>-186556399.12952366</v>
      </c>
      <c r="M12" s="1">
        <f t="shared" si="4"/>
        <v>-181772894.36662868</v>
      </c>
      <c r="N12" s="1">
        <f t="shared" si="4"/>
        <v>-176989427.83234391</v>
      </c>
      <c r="O12" s="1">
        <f t="shared" si="4"/>
        <v>-172205998.45925367</v>
      </c>
      <c r="P12" s="1">
        <f t="shared" si="4"/>
        <v>-167422605.10558608</v>
      </c>
      <c r="Q12" s="1">
        <f t="shared" si="4"/>
        <v>-162639246.55749783</v>
      </c>
      <c r="R12" s="1">
        <f t="shared" si="4"/>
        <v>-157855921.53150272</v>
      </c>
      <c r="S12" s="1">
        <f t="shared" si="4"/>
        <v>-153072628.67704013</v>
      </c>
      <c r="T12" s="1">
        <f t="shared" si="4"/>
        <v>-148289366.57917702</v>
      </c>
      <c r="U12" s="1">
        <f t="shared" si="4"/>
        <v>-143506133.76143926</v>
      </c>
      <c r="V12" s="1">
        <f t="shared" si="4"/>
        <v>-138722928.68876597</v>
      </c>
      <c r="W12" s="1">
        <f t="shared" si="4"/>
        <v>-133939749.7705808</v>
      </c>
      <c r="X12" s="1">
        <f t="shared" si="4"/>
        <v>-129156595.36397482</v>
      </c>
      <c r="Y12" s="1">
        <f t="shared" si="4"/>
        <v>-124373463.77699366</v>
      </c>
      <c r="Z12" s="1">
        <f t="shared" si="4"/>
        <v>-119590353.27202295</v>
      </c>
      <c r="AA12" s="1">
        <f t="shared" si="4"/>
        <v>-114807262.06926514</v>
      </c>
      <c r="AB12" s="1">
        <f t="shared" si="4"/>
        <v>-110024188.3503008</v>
      </c>
      <c r="AC12" s="1">
        <f t="shared" si="4"/>
        <v>-105241130.26172702</v>
      </c>
      <c r="AD12" s="1">
        <f t="shared" si="4"/>
        <v>-100458085.91886587</v>
      </c>
      <c r="AE12" s="1">
        <f t="shared" si="4"/>
        <v>-95675053.409535632</v>
      </c>
      <c r="AF12" s="1">
        <f t="shared" si="4"/>
        <v>-90892030.797876656</v>
      </c>
      <c r="AG12" s="1">
        <f t="shared" si="4"/>
        <v>-86109016.128225014</v>
      </c>
      <c r="AH12" s="1">
        <f t="shared" si="4"/>
        <v>-81326007.429025605</v>
      </c>
      <c r="AI12" s="1">
        <f t="shared" si="4"/>
        <v>-76543002.716776922</v>
      </c>
      <c r="AJ12" s="1"/>
    </row>
    <row r="13" spans="2:36" x14ac:dyDescent="0.25">
      <c r="B13" s="2" t="s">
        <v>11</v>
      </c>
      <c r="C13" s="2">
        <v>100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2:36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2:36" x14ac:dyDescent="0.25">
      <c r="B15" s="1" t="s">
        <v>13</v>
      </c>
      <c r="C15" s="1">
        <f>C10/(C4^2)</f>
        <v>4139999.9999999991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2:36" x14ac:dyDescent="0.25">
      <c r="B16" s="1" t="s">
        <v>14</v>
      </c>
      <c r="C16" s="1">
        <f>(2*C10)/(C4^2)+(C9*C8)/C5</f>
        <v>8997599.9999999981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2:36" x14ac:dyDescent="0.25">
      <c r="B17" s="1" t="s">
        <v>15</v>
      </c>
      <c r="C17" s="1">
        <f>C15</f>
        <v>4139999.9999999991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2:36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2:36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2:36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2:36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2:36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2:36" x14ac:dyDescent="0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2:36" x14ac:dyDescent="0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2:36" x14ac:dyDescent="0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2:36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2:36" x14ac:dyDescent="0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2:36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2:36" x14ac:dyDescent="0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2:36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2:36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2:36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2:36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2:36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2:36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2:36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2:36" x14ac:dyDescent="0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2:36" x14ac:dyDescent="0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2:36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2:36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2:36" x14ac:dyDescent="0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2:36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2:36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2:36" x14ac:dyDescent="0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2:36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2:36" x14ac:dyDescent="0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</sheetData>
  <conditionalFormatting sqref="F5:AJ5">
    <cfRule type="colorScale" priority="1">
      <colorScale>
        <cfvo type="min"/>
        <cfvo type="max"/>
        <color rgb="FF00B0F0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B39" sqref="B3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Алексей</cp:lastModifiedBy>
  <dcterms:created xsi:type="dcterms:W3CDTF">2021-04-04T15:26:17Z</dcterms:created>
  <dcterms:modified xsi:type="dcterms:W3CDTF">2021-04-04T16:53:54Z</dcterms:modified>
</cp:coreProperties>
</file>