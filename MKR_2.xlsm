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75" windowWidth="18195" windowHeight="11820"/>
  </bookViews>
  <sheets>
    <sheet name="1" sheetId="1" r:id="rId1"/>
    <sheet name="2" sheetId="2" r:id="rId2"/>
    <sheet name="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1" i="3" l="1"/>
  <c r="F8" i="3"/>
  <c r="AJ7" i="3"/>
  <c r="C4" i="3"/>
  <c r="C17" i="3" l="1"/>
  <c r="AI8" i="3"/>
  <c r="AE8" i="3"/>
  <c r="AA8" i="3"/>
  <c r="C15" i="3"/>
  <c r="AG8" i="3"/>
  <c r="AC8" i="3"/>
  <c r="Y8" i="3"/>
  <c r="U8" i="3"/>
  <c r="Q8" i="3"/>
  <c r="M8" i="3"/>
  <c r="I8" i="3"/>
  <c r="AJ4" i="3"/>
  <c r="AF4" i="3"/>
  <c r="AB4" i="3"/>
  <c r="X4" i="3"/>
  <c r="T4" i="3"/>
  <c r="P4" i="3"/>
  <c r="L4" i="3"/>
  <c r="H4" i="3"/>
  <c r="AF8" i="3"/>
  <c r="AB8" i="3"/>
  <c r="X8" i="3"/>
  <c r="T8" i="3"/>
  <c r="P8" i="3"/>
  <c r="L8" i="3"/>
  <c r="H8" i="3"/>
  <c r="AI4" i="3"/>
  <c r="AE4" i="3"/>
  <c r="AA4" i="3"/>
  <c r="C5" i="3"/>
  <c r="S8" i="3"/>
  <c r="I4" i="3"/>
  <c r="S4" i="3"/>
  <c r="O8" i="3"/>
  <c r="W8" i="3"/>
  <c r="K4" i="3"/>
  <c r="AC4" i="3"/>
  <c r="K8" i="3"/>
  <c r="N4" i="3"/>
  <c r="Y4" i="3"/>
  <c r="AG4" i="3"/>
  <c r="J4" i="3"/>
  <c r="O4" i="3"/>
  <c r="U4" i="3"/>
  <c r="Z4" i="3"/>
  <c r="AH4" i="3"/>
  <c r="J8" i="3"/>
  <c r="R8" i="3"/>
  <c r="Z8" i="3"/>
  <c r="Q4" i="3"/>
  <c r="V4" i="3"/>
  <c r="AD8" i="3"/>
  <c r="G4" i="3"/>
  <c r="M4" i="3"/>
  <c r="R4" i="3"/>
  <c r="W4" i="3"/>
  <c r="AD4" i="3"/>
  <c r="F5" i="3"/>
  <c r="G8" i="3" s="1"/>
  <c r="N8" i="3"/>
  <c r="V8" i="3"/>
  <c r="AH8" i="3"/>
  <c r="C16" i="3"/>
  <c r="F5" i="2"/>
  <c r="G8" i="2" s="1"/>
  <c r="C17" i="2"/>
  <c r="G10" i="2" s="1"/>
  <c r="C16" i="2"/>
  <c r="C15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F12" i="1"/>
  <c r="C16" i="1"/>
  <c r="F11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C17" i="1"/>
  <c r="G10" i="1" s="1"/>
  <c r="C15" i="1"/>
  <c r="G10" i="3" l="1"/>
  <c r="AH12" i="3"/>
  <c r="AD12" i="3"/>
  <c r="Z12" i="3"/>
  <c r="V12" i="3"/>
  <c r="R12" i="3"/>
  <c r="N12" i="3"/>
  <c r="J12" i="3"/>
  <c r="F12" i="3"/>
  <c r="AF12" i="3"/>
  <c r="AB12" i="3"/>
  <c r="X12" i="3"/>
  <c r="T12" i="3"/>
  <c r="P12" i="3"/>
  <c r="L12" i="3"/>
  <c r="H12" i="3"/>
  <c r="AI12" i="3"/>
  <c r="AE12" i="3"/>
  <c r="AA12" i="3"/>
  <c r="W12" i="3"/>
  <c r="S12" i="3"/>
  <c r="O12" i="3"/>
  <c r="K12" i="3"/>
  <c r="G12" i="3"/>
  <c r="U12" i="3"/>
  <c r="AG12" i="3"/>
  <c r="AC12" i="3"/>
  <c r="M12" i="3"/>
  <c r="Q12" i="3"/>
  <c r="Y12" i="3"/>
  <c r="I12" i="3"/>
  <c r="G11" i="3"/>
  <c r="H11" i="3" s="1"/>
  <c r="F12" i="2"/>
  <c r="F11" i="2"/>
  <c r="G11" i="2" s="1"/>
  <c r="H11" i="2" s="1"/>
  <c r="H10" i="2"/>
  <c r="H10" i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G11" i="1"/>
  <c r="H11" i="1" s="1"/>
  <c r="I11" i="3" l="1"/>
  <c r="H10" i="3"/>
  <c r="I10" i="2"/>
  <c r="I11" i="2"/>
  <c r="I11" i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I7" i="1" s="1"/>
  <c r="AH7" i="1" s="1"/>
  <c r="AG7" i="1" s="1"/>
  <c r="AF7" i="1" s="1"/>
  <c r="AE7" i="1" s="1"/>
  <c r="AD7" i="1" s="1"/>
  <c r="AC7" i="1" s="1"/>
  <c r="AB7" i="1" s="1"/>
  <c r="AA7" i="1" s="1"/>
  <c r="Z7" i="1" s="1"/>
  <c r="Y7" i="1" s="1"/>
  <c r="X7" i="1" s="1"/>
  <c r="W7" i="1" s="1"/>
  <c r="V7" i="1" s="1"/>
  <c r="U7" i="1" s="1"/>
  <c r="T7" i="1" s="1"/>
  <c r="S7" i="1" s="1"/>
  <c r="R7" i="1" s="1"/>
  <c r="Q7" i="1" s="1"/>
  <c r="P7" i="1" s="1"/>
  <c r="O7" i="1" s="1"/>
  <c r="N7" i="1" s="1"/>
  <c r="M7" i="1" s="1"/>
  <c r="L7" i="1" s="1"/>
  <c r="K7" i="1" s="1"/>
  <c r="J7" i="1" s="1"/>
  <c r="I7" i="1" s="1"/>
  <c r="H7" i="1" s="1"/>
  <c r="G7" i="1" s="1"/>
  <c r="J11" i="3" l="1"/>
  <c r="I10" i="3"/>
  <c r="J11" i="2"/>
  <c r="J10" i="2"/>
  <c r="K11" i="3" l="1"/>
  <c r="J10" i="3"/>
  <c r="K11" i="2"/>
  <c r="K10" i="2"/>
  <c r="K10" i="3" l="1"/>
  <c r="L11" i="2"/>
  <c r="L10" i="2"/>
  <c r="L10" i="3" l="1"/>
  <c r="L11" i="3"/>
  <c r="M11" i="3" s="1"/>
  <c r="M11" i="2"/>
  <c r="M10" i="2"/>
  <c r="M10" i="3" l="1"/>
  <c r="N10" i="2"/>
  <c r="N11" i="2"/>
  <c r="N10" i="3" l="1"/>
  <c r="N11" i="3"/>
  <c r="O11" i="3" s="1"/>
  <c r="O11" i="2"/>
  <c r="O10" i="2"/>
  <c r="O10" i="3" l="1"/>
  <c r="P10" i="2"/>
  <c r="P11" i="2"/>
  <c r="P10" i="3" l="1"/>
  <c r="P11" i="3"/>
  <c r="Q11" i="3" s="1"/>
  <c r="Q11" i="2"/>
  <c r="Q10" i="2"/>
  <c r="Q10" i="3" l="1"/>
  <c r="R10" i="2"/>
  <c r="R11" i="2"/>
  <c r="R10" i="3" l="1"/>
  <c r="R11" i="3"/>
  <c r="S11" i="3" s="1"/>
  <c r="S11" i="2"/>
  <c r="S10" i="2"/>
  <c r="S10" i="3" l="1"/>
  <c r="T10" i="2"/>
  <c r="T11" i="2"/>
  <c r="T10" i="3" l="1"/>
  <c r="T11" i="3"/>
  <c r="U11" i="3" s="1"/>
  <c r="U11" i="2"/>
  <c r="U10" i="2"/>
  <c r="U10" i="3" l="1"/>
  <c r="V11" i="3" s="1"/>
  <c r="V10" i="2"/>
  <c r="V11" i="2"/>
  <c r="V10" i="3" l="1"/>
  <c r="W11" i="2"/>
  <c r="W10" i="2"/>
  <c r="W10" i="3" l="1"/>
  <c r="W11" i="3"/>
  <c r="X11" i="3" s="1"/>
  <c r="X10" i="2"/>
  <c r="X11" i="2"/>
  <c r="X10" i="3" l="1"/>
  <c r="Y11" i="2"/>
  <c r="Y10" i="2"/>
  <c r="Y10" i="3" l="1"/>
  <c r="Y11" i="3"/>
  <c r="Z11" i="3" s="1"/>
  <c r="Z10" i="2"/>
  <c r="Z11" i="2"/>
  <c r="AA11" i="3" l="1"/>
  <c r="Z10" i="3"/>
  <c r="AA11" i="2"/>
  <c r="AA10" i="2"/>
  <c r="AA10" i="3" l="1"/>
  <c r="AB10" i="2"/>
  <c r="AB11" i="2"/>
  <c r="AB10" i="3" l="1"/>
  <c r="AB11" i="3"/>
  <c r="AC11" i="3" s="1"/>
  <c r="AC11" i="2"/>
  <c r="AC10" i="2"/>
  <c r="AD11" i="3" l="1"/>
  <c r="AC10" i="3"/>
  <c r="AD10" i="2"/>
  <c r="AD11" i="2"/>
  <c r="AD10" i="3" l="1"/>
  <c r="AE11" i="2"/>
  <c r="AE10" i="2"/>
  <c r="AE10" i="3" l="1"/>
  <c r="AE11" i="3"/>
  <c r="AF11" i="3" s="1"/>
  <c r="AF10" i="2"/>
  <c r="AF11" i="2"/>
  <c r="AF10" i="3" l="1"/>
  <c r="AG11" i="2"/>
  <c r="AG10" i="2"/>
  <c r="AG10" i="3" l="1"/>
  <c r="AG11" i="3"/>
  <c r="AH11" i="3" s="1"/>
  <c r="AH10" i="2"/>
  <c r="AH11" i="2"/>
  <c r="AH10" i="3" l="1"/>
  <c r="AI11" i="3"/>
  <c r="AI11" i="2"/>
  <c r="AI10" i="2"/>
  <c r="AI10" i="3" l="1"/>
  <c r="AI7" i="3" s="1"/>
  <c r="AH7" i="3" s="1"/>
  <c r="AG7" i="3" s="1"/>
  <c r="AF7" i="3" s="1"/>
  <c r="AE7" i="3" s="1"/>
  <c r="AD7" i="3" s="1"/>
  <c r="AC7" i="3" s="1"/>
  <c r="AB7" i="3" s="1"/>
  <c r="AA7" i="3" s="1"/>
  <c r="Z7" i="3" s="1"/>
  <c r="Y7" i="3" s="1"/>
  <c r="X7" i="3" s="1"/>
  <c r="W7" i="3" s="1"/>
  <c r="V7" i="3" s="1"/>
  <c r="U7" i="3" s="1"/>
  <c r="T7" i="3" s="1"/>
  <c r="S7" i="3" s="1"/>
  <c r="R7" i="3" s="1"/>
  <c r="Q7" i="3" s="1"/>
  <c r="P7" i="3" s="1"/>
  <c r="O7" i="3" s="1"/>
  <c r="N7" i="3" s="1"/>
  <c r="M7" i="3" s="1"/>
  <c r="L7" i="3" s="1"/>
  <c r="K7" i="3" s="1"/>
  <c r="J7" i="3" s="1"/>
  <c r="I7" i="3" s="1"/>
  <c r="H7" i="3" s="1"/>
  <c r="G7" i="3" s="1"/>
  <c r="AI7" i="2"/>
  <c r="AH7" i="2" s="1"/>
  <c r="AG7" i="2" s="1"/>
  <c r="AF7" i="2" s="1"/>
  <c r="AE7" i="2" s="1"/>
  <c r="AD7" i="2" s="1"/>
  <c r="AC7" i="2" s="1"/>
  <c r="AB7" i="2" s="1"/>
  <c r="AA7" i="2" s="1"/>
  <c r="Z7" i="2" s="1"/>
  <c r="Y7" i="2" s="1"/>
  <c r="X7" i="2" s="1"/>
  <c r="W7" i="2" s="1"/>
  <c r="V7" i="2" s="1"/>
  <c r="U7" i="2" s="1"/>
  <c r="T7" i="2" s="1"/>
  <c r="S7" i="2" s="1"/>
  <c r="R7" i="2" s="1"/>
  <c r="Q7" i="2" s="1"/>
  <c r="P7" i="2" s="1"/>
  <c r="O7" i="2" s="1"/>
  <c r="N7" i="2" s="1"/>
  <c r="M7" i="2" s="1"/>
  <c r="L7" i="2" s="1"/>
  <c r="K7" i="2" s="1"/>
  <c r="J7" i="2" s="1"/>
  <c r="I7" i="2" s="1"/>
  <c r="H7" i="2" s="1"/>
  <c r="G7" i="2" s="1"/>
</calcChain>
</file>

<file path=xl/comments1.xml><?xml version="1.0" encoding="utf-8"?>
<comments xmlns="http://schemas.openxmlformats.org/spreadsheetml/2006/main">
  <authors>
    <author>Алексей</author>
  </authors>
  <commentList>
    <comment ref="E15" authorId="0">
      <text>
        <r>
          <rPr>
            <b/>
            <i/>
            <sz val="36"/>
            <color indexed="15"/>
            <rFont val="Tahoma"/>
            <family val="2"/>
            <charset val="204"/>
          </rPr>
          <t>Сделано Быковым Леонидом</t>
        </r>
      </text>
    </comment>
  </commentList>
</comments>
</file>

<file path=xl/comments2.xml><?xml version="1.0" encoding="utf-8"?>
<comments xmlns="http://schemas.openxmlformats.org/spreadsheetml/2006/main">
  <authors>
    <author>Алексей</author>
  </authors>
  <commentList>
    <comment ref="F14" authorId="0">
      <text>
        <r>
          <rPr>
            <b/>
            <i/>
            <sz val="36"/>
            <color indexed="15"/>
            <rFont val="Tahoma"/>
            <family val="2"/>
            <charset val="204"/>
          </rPr>
          <t>Сделано Быковым Леонидом</t>
        </r>
      </text>
    </comment>
  </commentList>
</comments>
</file>

<file path=xl/comments3.xml><?xml version="1.0" encoding="utf-8"?>
<comments xmlns="http://schemas.openxmlformats.org/spreadsheetml/2006/main">
  <authors>
    <author>Алексей</author>
  </authors>
  <commentList>
    <comment ref="G14" authorId="0">
      <text>
        <r>
          <rPr>
            <b/>
            <i/>
            <sz val="36"/>
            <color indexed="15"/>
            <rFont val="Tahoma"/>
            <family val="2"/>
            <charset val="204"/>
          </rPr>
          <t>Сделано Быковым Леонидом</t>
        </r>
      </text>
    </comment>
  </commentList>
</comments>
</file>

<file path=xl/sharedStrings.xml><?xml version="1.0" encoding="utf-8"?>
<sst xmlns="http://schemas.openxmlformats.org/spreadsheetml/2006/main" count="60" uniqueCount="22">
  <si>
    <t>L</t>
  </si>
  <si>
    <t>dx</t>
  </si>
  <si>
    <t>dt</t>
  </si>
  <si>
    <t>T</t>
  </si>
  <si>
    <t>t</t>
  </si>
  <si>
    <t>T_iter</t>
  </si>
  <si>
    <t>Cp</t>
  </si>
  <si>
    <t>q</t>
  </si>
  <si>
    <t>ρ</t>
  </si>
  <si>
    <t>λ</t>
  </si>
  <si>
    <t>q_start</t>
  </si>
  <si>
    <t>T_end</t>
  </si>
  <si>
    <t>T_start</t>
  </si>
  <si>
    <t>A</t>
  </si>
  <si>
    <t>B</t>
  </si>
  <si>
    <t>C</t>
  </si>
  <si>
    <t>α</t>
  </si>
  <si>
    <t>β</t>
  </si>
  <si>
    <t>F</t>
  </si>
  <si>
    <t>alfa</t>
  </si>
  <si>
    <t>betta</t>
  </si>
  <si>
    <t>T_gas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</si>
</sst>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"/>
  </numFmts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Arial"/>
      <family val="2"/>
      <charset val="204"/>
    </font>
    <font>
      <b/>
      <i/>
      <sz val="36"/>
      <color indexed="15"/>
      <name val="Tahoma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/>
    <xf numFmtId="0" fontId="0" fillId="0" borderId="1" xfId="0" applyBorder="1"/>
    <xf numFmtId="0" fontId="1" fillId="0" borderId="1" xfId="0" applyFont="1" applyBorder="1"/>
    <xf numFmtId="165" fontId="0" fillId="0" borderId="1" xfId="0" applyNumberFormat="1" applyBorder="1"/>
    <xf numFmtId="164" fontId="0" fillId="0" borderId="1" xfId="0" applyNumberFormat="1" applyBorder="1"/>
    <xf numFmtId="0" fontId="0" fillId="0" borderId="0" xfId="0" applyFont="1"/>
    <xf numFmtId="0" fontId="0" fillId="0" borderId="0" xfId="0" applyFill="1" applyBorder="1"/>
    <xf numFmtId="0" fontId="1" fillId="0" borderId="0" xfId="0" applyFont="1" applyFill="1" applyBorder="1"/>
    <xf numFmtId="0" fontId="1" fillId="0" borderId="1" xfId="0" applyFont="1" applyFill="1" applyBorder="1"/>
    <xf numFmtId="0" fontId="0" fillId="0" borderId="1" xfId="0" applyFill="1" applyBorder="1"/>
    <xf numFmtId="0" fontId="2" fillId="0" borderId="0" xfId="0" applyFont="1" applyBorder="1"/>
    <xf numFmtId="0" fontId="0" fillId="0" borderId="0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10010402053208"/>
          <c:y val="2.0581197588541877E-2"/>
          <c:w val="0.84055900821652252"/>
          <c:h val="0.88102419132691867"/>
        </c:manualLayout>
      </c:layout>
      <c:scatterChart>
        <c:scatterStyle val="smoothMarker"/>
        <c:varyColors val="0"/>
        <c:ser>
          <c:idx val="0"/>
          <c:order val="0"/>
          <c:spPr>
            <a:ln w="47625"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'1'!$F$4:$AJ$4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'1'!$F$5:$AJ$5</c:f>
              <c:numCache>
                <c:formatCode>General</c:formatCode>
                <c:ptCount val="31"/>
                <c:pt idx="0">
                  <c:v>300</c:v>
                </c:pt>
                <c:pt idx="1">
                  <c:v>293.32891828066874</c:v>
                </c:pt>
                <c:pt idx="2">
                  <c:v>286.65788493357832</c:v>
                </c:pt>
                <c:pt idx="3">
                  <c:v>279.98694780099339</c:v>
                </c:pt>
                <c:pt idx="4">
                  <c:v>273.31615367103211</c:v>
                </c:pt>
                <c:pt idx="5">
                  <c:v>266.6455477650461</c:v>
                </c:pt>
                <c:pt idx="6">
                  <c:v>259.97517324216562</c:v>
                </c:pt>
                <c:pt idx="7">
                  <c:v>253.30507072643934</c:v>
                </c:pt>
                <c:pt idx="8">
                  <c:v>246.63527786174859</c:v>
                </c:pt>
                <c:pt idx="9">
                  <c:v>239.96582889937309</c:v>
                </c:pt>
                <c:pt idx="10">
                  <c:v>233.29675432272683</c:v>
                </c:pt>
                <c:pt idx="11">
                  <c:v>226.62808051337544</c:v>
                </c:pt>
                <c:pt idx="12">
                  <c:v>219.95982946199422</c:v>
                </c:pt>
                <c:pt idx="13">
                  <c:v>213.29201852743358</c:v>
                </c:pt>
                <c:pt idx="14">
                  <c:v>206.62466024653207</c:v>
                </c:pt>
                <c:pt idx="15">
                  <c:v>199.95776219675997</c:v>
                </c:pt>
                <c:pt idx="16">
                  <c:v>193.29132691319904</c:v>
                </c:pt>
                <c:pt idx="17">
                  <c:v>186.62535186076747</c:v>
                </c:pt>
                <c:pt idx="18">
                  <c:v>179.95982946199504</c:v>
                </c:pt>
                <c:pt idx="19">
                  <c:v>173.2947471800432</c:v>
                </c:pt>
                <c:pt idx="20">
                  <c:v>166.63008765606148</c:v>
                </c:pt>
                <c:pt idx="21">
                  <c:v>159.96582889937454</c:v>
                </c:pt>
                <c:pt idx="22">
                  <c:v>153.30194452841681</c:v>
                </c:pt>
                <c:pt idx="23">
                  <c:v>146.63840405977425</c:v>
                </c:pt>
                <c:pt idx="24">
                  <c:v>139.97517324216707</c:v>
                </c:pt>
                <c:pt idx="25">
                  <c:v>133.31221443171404</c:v>
                </c:pt>
                <c:pt idx="26">
                  <c:v>126.64948700436656</c:v>
                </c:pt>
                <c:pt idx="27">
                  <c:v>119.98694780099426</c:v>
                </c:pt>
                <c:pt idx="28">
                  <c:v>113.32455160024561</c:v>
                </c:pt>
                <c:pt idx="29">
                  <c:v>106.66225161400237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552576"/>
        <c:axId val="134566656"/>
      </c:scatterChart>
      <c:valAx>
        <c:axId val="134552576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 Black" panose="020B0A04020102020204" pitchFamily="34" charset="0"/>
              </a:defRPr>
            </a:pPr>
            <a:endParaRPr lang="ru-RU"/>
          </a:p>
        </c:txPr>
        <c:crossAx val="134566656"/>
        <c:crosses val="autoZero"/>
        <c:crossBetween val="midCat"/>
      </c:valAx>
      <c:valAx>
        <c:axId val="13456665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 b="0" i="1">
                <a:latin typeface="Arial Black" panose="020B0A04020102020204" pitchFamily="34" charset="0"/>
                <a:cs typeface="Aharoni" panose="02010803020104030203" pitchFamily="2" charset="-79"/>
              </a:defRPr>
            </a:pPr>
            <a:endParaRPr lang="ru-RU"/>
          </a:p>
        </c:txPr>
        <c:crossAx val="134552576"/>
        <c:crosses val="autoZero"/>
        <c:crossBetween val="midCat"/>
      </c:valAx>
      <c:spPr>
        <a:gradFill flip="none" rotWithShape="1">
          <a:gsLst>
            <a:gs pos="0">
              <a:srgbClr val="FFEFD1"/>
            </a:gs>
            <a:gs pos="10000">
              <a:schemeClr val="bg2"/>
            </a:gs>
            <a:gs pos="100000">
              <a:srgbClr val="D1C39F"/>
            </a:gs>
          </a:gsLst>
          <a:lin ang="0" scaled="1"/>
          <a:tileRect/>
        </a:gradFill>
      </c:spPr>
    </c:plotArea>
    <c:plotVisOnly val="1"/>
    <c:dispBlanksAs val="gap"/>
    <c:showDLblsOverMax val="0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0" scaled="1"/>
    </a:gradFill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89110592452485"/>
          <c:y val="1.8405595306454997E-2"/>
          <c:w val="0.84055900821652252"/>
          <c:h val="0.88102419132691867"/>
        </c:manualLayout>
      </c:layout>
      <c:scatterChart>
        <c:scatterStyle val="smoothMarker"/>
        <c:varyColors val="0"/>
        <c:ser>
          <c:idx val="0"/>
          <c:order val="0"/>
          <c:spPr>
            <a:ln>
              <a:solidFill>
                <a:schemeClr val="accent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'2'!$F$5:$AJ$5</c:f>
              <c:numCache>
                <c:formatCode>General</c:formatCode>
                <c:ptCount val="31"/>
                <c:pt idx="0">
                  <c:v>299.9700784164682</c:v>
                </c:pt>
                <c:pt idx="1">
                  <c:v>293.30341174980151</c:v>
                </c:pt>
                <c:pt idx="2">
                  <c:v>286.63715035920717</c:v>
                </c:pt>
                <c:pt idx="3">
                  <c:v>279.97094802802161</c:v>
                </c:pt>
                <c:pt idx="4">
                  <c:v>273.3048038271524</c:v>
                </c:pt>
                <c:pt idx="5">
                  <c:v>266.63871671119364</c:v>
                </c:pt>
                <c:pt idx="6">
                  <c:v>259.97268552051793</c:v>
                </c:pt>
                <c:pt idx="7">
                  <c:v>253.30670898359625</c:v>
                </c:pt>
                <c:pt idx="8">
                  <c:v>246.64078571954281</c:v>
                </c:pt>
                <c:pt idx="9">
                  <c:v>239.97491424087747</c:v>
                </c:pt>
                <c:pt idx="10">
                  <c:v>233.30909295650235</c:v>
                </c:pt>
                <c:pt idx="11">
                  <c:v>226.64332017488547</c:v>
                </c:pt>
                <c:pt idx="12">
                  <c:v>219.97759410744527</c:v>
                </c:pt>
                <c:pt idx="13">
                  <c:v>213.31191287212948</c:v>
                </c:pt>
                <c:pt idx="14">
                  <c:v>206.64627449718091</c:v>
                </c:pt>
                <c:pt idx="15">
                  <c:v>199.98067692508261</c:v>
                </c:pt>
                <c:pt idx="16">
                  <c:v>193.315118016675</c:v>
                </c:pt>
                <c:pt idx="17">
                  <c:v>186.64959555543589</c:v>
                </c:pt>
                <c:pt idx="18">
                  <c:v>179.98410725191587</c:v>
                </c:pt>
                <c:pt idx="19">
                  <c:v>173.31865074831893</c:v>
                </c:pt>
                <c:pt idx="20">
                  <c:v>166.65322362322038</c:v>
                </c:pt>
                <c:pt idx="21">
                  <c:v>159.98782339641184</c:v>
                </c:pt>
                <c:pt idx="22">
                  <c:v>153.32244753386399</c:v>
                </c:pt>
                <c:pt idx="23">
                  <c:v>146.65709345279686</c:v>
                </c:pt>
                <c:pt idx="24">
                  <c:v>139.99175852684766</c:v>
                </c:pt>
                <c:pt idx="25">
                  <c:v>133.32644009132613</c:v>
                </c:pt>
                <c:pt idx="26">
                  <c:v>126.66113544854606</c:v>
                </c:pt>
                <c:pt idx="27">
                  <c:v>119.99584187322327</c:v>
                </c:pt>
                <c:pt idx="28">
                  <c:v>113.33055661792865</c:v>
                </c:pt>
                <c:pt idx="29">
                  <c:v>106.66527691858546</c:v>
                </c:pt>
                <c:pt idx="30">
                  <c:v>100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'[1]ГР_3 рода'!$A$2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'[1]ГР_3 рода'!$B$1:$AJ$1</c:f>
              <c:numCache>
                <c:formatCode>General</c:formatCode>
                <c:ptCount val="35"/>
              </c:numCache>
            </c:numRef>
          </c:xVal>
          <c:yVal>
            <c:numRef>
              <c:f>'[1]ГР_3 рода'!$B$2:$AJ$2</c:f>
              <c:numCache>
                <c:formatCode>General</c:formatCode>
                <c:ptCount val="35"/>
              </c:numCache>
            </c:numRef>
          </c:yVal>
          <c:smooth val="1"/>
        </c:ser>
        <c:ser>
          <c:idx val="2"/>
          <c:order val="2"/>
          <c:tx>
            <c:strRef>
              <c:f>'[1]ГР_3 рода'!$A$3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'[1]ГР_3 рода'!$B$1:$AJ$1</c:f>
              <c:numCache>
                <c:formatCode>General</c:formatCode>
                <c:ptCount val="35"/>
              </c:numCache>
            </c:numRef>
          </c:xVal>
          <c:yVal>
            <c:numRef>
              <c:f>'[1]ГР_3 рода'!$B$3:$AJ$3</c:f>
              <c:numCache>
                <c:formatCode>General</c:formatCode>
                <c:ptCount val="35"/>
                <c:pt idx="0">
                  <c:v>0</c:v>
                </c:pt>
                <c:pt idx="1">
                  <c:v>0.1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8</c:v>
                </c:pt>
                <c:pt idx="12">
                  <c:v>9</c:v>
                </c:pt>
                <c:pt idx="13">
                  <c:v>10</c:v>
                </c:pt>
                <c:pt idx="14">
                  <c:v>11</c:v>
                </c:pt>
                <c:pt idx="15">
                  <c:v>12</c:v>
                </c:pt>
                <c:pt idx="16">
                  <c:v>13</c:v>
                </c:pt>
                <c:pt idx="17">
                  <c:v>14</c:v>
                </c:pt>
                <c:pt idx="18">
                  <c:v>15</c:v>
                </c:pt>
                <c:pt idx="19">
                  <c:v>16</c:v>
                </c:pt>
                <c:pt idx="20">
                  <c:v>17</c:v>
                </c:pt>
                <c:pt idx="21">
                  <c:v>18</c:v>
                </c:pt>
                <c:pt idx="22">
                  <c:v>19</c:v>
                </c:pt>
                <c:pt idx="23">
                  <c:v>20</c:v>
                </c:pt>
                <c:pt idx="24">
                  <c:v>21</c:v>
                </c:pt>
                <c:pt idx="25">
                  <c:v>22</c:v>
                </c:pt>
                <c:pt idx="26">
                  <c:v>23</c:v>
                </c:pt>
                <c:pt idx="27">
                  <c:v>24</c:v>
                </c:pt>
                <c:pt idx="28">
                  <c:v>25</c:v>
                </c:pt>
                <c:pt idx="29">
                  <c:v>26</c:v>
                </c:pt>
                <c:pt idx="30">
                  <c:v>27</c:v>
                </c:pt>
                <c:pt idx="31">
                  <c:v>28</c:v>
                </c:pt>
                <c:pt idx="32">
                  <c:v>29</c:v>
                </c:pt>
                <c:pt idx="33">
                  <c:v>30</c:v>
                </c:pt>
                <c:pt idx="34">
                  <c:v>31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'[1]ГР_3 рода'!$A$4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'[1]ГР_3 рода'!$B$1:$AJ$1</c:f>
              <c:numCache>
                <c:formatCode>General</c:formatCode>
                <c:ptCount val="35"/>
              </c:numCache>
            </c:numRef>
          </c:xVal>
          <c:yVal>
            <c:numRef>
              <c:f>'[1]ГР_3 рода'!$B$4:$AJ$4</c:f>
              <c:numCache>
                <c:formatCode>0.000</c:formatCode>
                <c:ptCount val="35"/>
                <c:pt idx="0" formatCode="General">
                  <c:v>0</c:v>
                </c:pt>
                <c:pt idx="1">
                  <c:v>3.3333333333333335E-3</c:v>
                </c:pt>
                <c:pt idx="3" formatCode="General">
                  <c:v>0</c:v>
                </c:pt>
                <c:pt idx="4" formatCode="0.0000">
                  <c:v>0</c:v>
                </c:pt>
                <c:pt idx="5" formatCode="0.0000">
                  <c:v>3.3333333333333335E-3</c:v>
                </c:pt>
                <c:pt idx="6" formatCode="0.0000">
                  <c:v>6.6666666666666671E-3</c:v>
                </c:pt>
                <c:pt idx="7" formatCode="0.0000">
                  <c:v>0.01</c:v>
                </c:pt>
                <c:pt idx="8" formatCode="0.0000">
                  <c:v>1.3333333333333334E-2</c:v>
                </c:pt>
                <c:pt idx="9" formatCode="0.0000">
                  <c:v>1.6666666666666666E-2</c:v>
                </c:pt>
                <c:pt idx="10" formatCode="0.0000">
                  <c:v>0.02</c:v>
                </c:pt>
                <c:pt idx="11" formatCode="0.0000">
                  <c:v>2.3333333333333334E-2</c:v>
                </c:pt>
                <c:pt idx="12" formatCode="0.0000">
                  <c:v>2.6666666666666668E-2</c:v>
                </c:pt>
                <c:pt idx="13" formatCode="0.0000">
                  <c:v>3.0000000000000002E-2</c:v>
                </c:pt>
                <c:pt idx="14" formatCode="0.0000">
                  <c:v>3.3333333333333333E-2</c:v>
                </c:pt>
                <c:pt idx="15" formatCode="0.0000">
                  <c:v>3.6666666666666667E-2</c:v>
                </c:pt>
                <c:pt idx="16" formatCode="0.0000">
                  <c:v>0.04</c:v>
                </c:pt>
                <c:pt idx="17" formatCode="0.0000">
                  <c:v>4.3333333333333335E-2</c:v>
                </c:pt>
                <c:pt idx="18" formatCode="0.0000">
                  <c:v>4.6666666666666669E-2</c:v>
                </c:pt>
                <c:pt idx="19" formatCode="0.0000">
                  <c:v>0.05</c:v>
                </c:pt>
                <c:pt idx="20" formatCode="0.0000">
                  <c:v>5.3333333333333337E-2</c:v>
                </c:pt>
                <c:pt idx="21" formatCode="0.0000">
                  <c:v>5.6666666666666671E-2</c:v>
                </c:pt>
                <c:pt idx="22" formatCode="0.0000">
                  <c:v>6.0000000000000005E-2</c:v>
                </c:pt>
                <c:pt idx="23" formatCode="0.0000">
                  <c:v>6.3333333333333339E-2</c:v>
                </c:pt>
                <c:pt idx="24" formatCode="0.0000">
                  <c:v>6.6666666666666666E-2</c:v>
                </c:pt>
                <c:pt idx="25" formatCode="0.0000">
                  <c:v>7.0000000000000007E-2</c:v>
                </c:pt>
                <c:pt idx="26" formatCode="0.0000">
                  <c:v>7.3333333333333334E-2</c:v>
                </c:pt>
                <c:pt idx="27" formatCode="0.0000">
                  <c:v>7.6666666666666675E-2</c:v>
                </c:pt>
                <c:pt idx="28" formatCode="0.0000">
                  <c:v>0.08</c:v>
                </c:pt>
                <c:pt idx="29" formatCode="0.0000">
                  <c:v>8.3333333333333343E-2</c:v>
                </c:pt>
                <c:pt idx="30" formatCode="0.0000">
                  <c:v>8.666666666666667E-2</c:v>
                </c:pt>
                <c:pt idx="31" formatCode="0.0000">
                  <c:v>9.0000000000000011E-2</c:v>
                </c:pt>
                <c:pt idx="32" formatCode="0.0000">
                  <c:v>9.3333333333333338E-2</c:v>
                </c:pt>
                <c:pt idx="33" formatCode="0.0000">
                  <c:v>9.6666666666666679E-2</c:v>
                </c:pt>
                <c:pt idx="34" formatCode="0.0000">
                  <c:v>0.1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'[1]ГР_3 рода'!$A$5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'[1]ГР_3 рода'!$B$1:$AJ$1</c:f>
              <c:numCache>
                <c:formatCode>General</c:formatCode>
                <c:ptCount val="35"/>
              </c:numCache>
            </c:numRef>
          </c:xVal>
          <c:yVal>
            <c:numRef>
              <c:f>'[1]ГР_3 рода'!$B$5:$AJ$5</c:f>
              <c:numCache>
                <c:formatCode>0.000</c:formatCode>
                <c:ptCount val="35"/>
                <c:pt idx="0" formatCode="General">
                  <c:v>0</c:v>
                </c:pt>
                <c:pt idx="1">
                  <c:v>0.4333333333333334</c:v>
                </c:pt>
                <c:pt idx="3" formatCode="General">
                  <c:v>0</c:v>
                </c:pt>
                <c:pt idx="4" formatCode="General">
                  <c:v>85763.080460892976</c:v>
                </c:pt>
                <c:pt idx="5" formatCode="General">
                  <c:v>85762.715243501676</c:v>
                </c:pt>
                <c:pt idx="6" formatCode="General">
                  <c:v>79570.705493080794</c:v>
                </c:pt>
                <c:pt idx="7" formatCode="General">
                  <c:v>73468.251519254482</c:v>
                </c:pt>
                <c:pt idx="8" formatCode="General">
                  <c:v>67497.682099256563</c:v>
                </c:pt>
                <c:pt idx="9" formatCode="General">
                  <c:v>61698.487307960706</c:v>
                </c:pt>
                <c:pt idx="10" formatCode="General">
                  <c:v>56106.533741895357</c:v>
                </c:pt>
                <c:pt idx="11" formatCode="General">
                  <c:v>50753.407339911384</c:v>
                </c:pt>
                <c:pt idx="12" formatCode="General">
                  <c:v>45665.903050501263</c:v>
                </c:pt>
                <c:pt idx="13" formatCode="General">
                  <c:v>40865.673400754138</c:v>
                </c:pt>
                <c:pt idx="14" formatCode="General">
                  <c:v>36369.04049355055</c:v>
                </c:pt>
                <c:pt idx="15" formatCode="General">
                  <c:v>32186.968548477107</c:v>
                </c:pt>
                <c:pt idx="16" formatCode="General">
                  <c:v>28325.187228251823</c:v>
                </c:pt>
                <c:pt idx="17" formatCode="General">
                  <c:v>24784.450017161686</c:v>
                </c:pt>
                <c:pt idx="18" formatCode="General">
                  <c:v>21560.907120646545</c:v>
                </c:pt>
                <c:pt idx="19" formatCode="General">
                  <c:v>18646.568919657242</c:v>
                </c:pt>
                <c:pt idx="20" formatCode="General">
                  <c:v>16029.834022750278</c:v>
                </c:pt>
                <c:pt idx="21" formatCode="General">
                  <c:v>13696.05539825606</c:v>
                </c:pt>
                <c:pt idx="22" formatCode="General">
                  <c:v>11628.118836406189</c:v>
                </c:pt>
                <c:pt idx="23" formatCode="General">
                  <c:v>9807.0099147079309</c:v>
                </c:pt>
                <c:pt idx="24" formatCode="General">
                  <c:v>8212.3484967852764</c:v>
                </c:pt>
                <c:pt idx="25" formatCode="General">
                  <c:v>6822.873335104875</c:v>
                </c:pt>
                <c:pt idx="26" formatCode="General">
                  <c:v>5616.8633148192512</c:v>
                </c:pt>
                <c:pt idx="27" formatCode="General">
                  <c:v>4572.4860254942541</c:v>
                </c:pt>
                <c:pt idx="28" formatCode="General">
                  <c:v>3668.0684639282208</c:v>
                </c:pt>
                <c:pt idx="29" formatCode="General">
                  <c:v>2882.288577463095</c:v>
                </c:pt>
                <c:pt idx="30" formatCode="General">
                  <c:v>2194.2899201217119</c:v>
                </c:pt>
                <c:pt idx="31" formatCode="General">
                  <c:v>1583.7248252574818</c:v>
                </c:pt>
                <c:pt idx="32" formatCode="General">
                  <c:v>1030.7341507589256</c:v>
                </c:pt>
                <c:pt idx="33" formatCode="General">
                  <c:v>515.8738125576225</c:v>
                </c:pt>
                <c:pt idx="34" formatCode="General">
                  <c:v>20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'[1]ГР_3 рода'!$A$6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'[1]ГР_3 рода'!$B$1:$AJ$1</c:f>
              <c:numCache>
                <c:formatCode>General</c:formatCode>
                <c:ptCount val="35"/>
              </c:numCache>
            </c:numRef>
          </c:xVal>
          <c:yVal>
            <c:numRef>
              <c:f>'[1]ГР_3 рода'!$B$6:$AJ$6</c:f>
              <c:numCache>
                <c:formatCode>General</c:formatCode>
                <c:ptCount val="35"/>
                <c:pt idx="0">
                  <c:v>0</c:v>
                </c:pt>
                <c:pt idx="1">
                  <c:v>60</c:v>
                </c:pt>
                <c:pt idx="2">
                  <c:v>60.233333333333341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'[1]ГР_3 рода'!$A$7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'[1]ГР_3 рода'!$B$1:$AJ$1</c:f>
              <c:numCache>
                <c:formatCode>General</c:formatCode>
                <c:ptCount val="35"/>
              </c:numCache>
            </c:numRef>
          </c:xVal>
          <c:yVal>
            <c:numRef>
              <c:f>'[1]ГР_3 рода'!$B$7:$AJ$7</c:f>
              <c:numCache>
                <c:formatCode>General</c:formatCode>
                <c:ptCount val="35"/>
                <c:pt idx="3">
                  <c:v>0</c:v>
                </c:pt>
                <c:pt idx="5">
                  <c:v>85785.108632023708</c:v>
                </c:pt>
                <c:pt idx="6">
                  <c:v>79615.004041091393</c:v>
                </c:pt>
                <c:pt idx="7">
                  <c:v>73533.496546180249</c:v>
                </c:pt>
                <c:pt idx="8">
                  <c:v>67582.47910512067</c:v>
                </c:pt>
                <c:pt idx="9">
                  <c:v>61801.055675789314</c:v>
                </c:pt>
                <c:pt idx="10">
                  <c:v>56224.768982115165</c:v>
                </c:pt>
                <c:pt idx="11">
                  <c:v>50884.952768880619</c:v>
                </c:pt>
                <c:pt idx="12">
                  <c:v>45808.227413584544</c:v>
                </c:pt>
                <c:pt idx="13">
                  <c:v>41016.150784455029</c:v>
                </c:pt>
                <c:pt idx="14">
                  <c:v>36525.028922727302</c:v>
                </c:pt>
                <c:pt idx="15">
                  <c:v>32345.883919353044</c:v>
                </c:pt>
                <c:pt idx="16">
                  <c:v>28484.56965773067</c:v>
                </c:pt>
                <c:pt idx="17">
                  <c:v>24942.020255065989</c:v>
                </c:pt>
                <c:pt idx="18">
                  <c:v>21714.611328209921</c:v>
                </c:pt>
                <c:pt idx="19">
                  <c:v>18794.610816480606</c:v>
                </c:pt>
                <c:pt idx="20">
                  <c:v>16170.694098398009</c:v>
                </c:pt>
                <c:pt idx="21">
                  <c:v>13828.497531610874</c:v>
                </c:pt>
                <c:pt idx="22">
                  <c:v>11751.185231533362</c:v>
                </c:pt>
                <c:pt idx="23">
                  <c:v>9920.005721710193</c:v>
                </c:pt>
                <c:pt idx="24">
                  <c:v>8314.8178258915432</c:v>
                </c:pt>
                <c:pt idx="25">
                  <c:v>6914.568588285425</c:v>
                </c:pt>
                <c:pt idx="26">
                  <c:v>5697.709857040406</c:v>
                </c:pt>
                <c:pt idx="27">
                  <c:v>4642.5442102376946</c:v>
                </c:pt>
                <c:pt idx="28">
                  <c:v>3727.4949329218634</c:v>
                </c:pt>
                <c:pt idx="29">
                  <c:v>2931.2985935933157</c:v>
                </c:pt>
                <c:pt idx="30">
                  <c:v>2233.1222865252084</c:v>
                </c:pt>
                <c:pt idx="31">
                  <c:v>1612.6107122640938</c:v>
                </c:pt>
                <c:pt idx="32">
                  <c:v>1049.8709120162018</c:v>
                </c:pt>
                <c:pt idx="33">
                  <c:v>525.40463428286171</c:v>
                </c:pt>
                <c:pt idx="34">
                  <c:v>20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'[1]ГР_3 рода'!$A$8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'[1]ГР_3 рода'!$B$1:$AJ$1</c:f>
              <c:numCache>
                <c:formatCode>General</c:formatCode>
                <c:ptCount val="35"/>
              </c:numCache>
            </c:numRef>
          </c:xVal>
          <c:yVal>
            <c:numRef>
              <c:f>'[1]ГР_3 рода'!$B$8:$AJ$8</c:f>
              <c:numCache>
                <c:formatCode>General</c:formatCode>
                <c:ptCount val="35"/>
                <c:pt idx="0">
                  <c:v>0</c:v>
                </c:pt>
                <c:pt idx="1">
                  <c:v>460</c:v>
                </c:pt>
                <c:pt idx="3">
                  <c:v>0</c:v>
                </c:pt>
                <c:pt idx="4">
                  <c:v>80</c:v>
                </c:pt>
                <c:pt idx="5">
                  <c:v>79.999999998974431</c:v>
                </c:pt>
                <c:pt idx="6">
                  <c:v>1356344.9929493361</c:v>
                </c:pt>
                <c:pt idx="7">
                  <c:v>1336728.0133143349</c:v>
                </c:pt>
                <c:pt idx="8">
                  <c:v>1307839.0158090678</c:v>
                </c:pt>
                <c:pt idx="9">
                  <c:v>1270299.8114267113</c:v>
                </c:pt>
                <c:pt idx="10">
                  <c:v>1224904.1144714572</c:v>
                </c:pt>
                <c:pt idx="11">
                  <c:v>1172589.5928155368</c:v>
                </c:pt>
                <c:pt idx="12">
                  <c:v>1114405.7014898357</c:v>
                </c:pt>
                <c:pt idx="13">
                  <c:v>1051478.875658894</c:v>
                </c:pt>
                <c:pt idx="14">
                  <c:v>984976.73205411911</c:v>
                </c:pt>
                <c:pt idx="15">
                  <c:v>916072.90225418273</c:v>
                </c:pt>
                <c:pt idx="16">
                  <c:v>845914.00347791915</c:v>
                </c:pt>
                <c:pt idx="17">
                  <c:v>775590.05576260155</c:v>
                </c:pt>
                <c:pt idx="18">
                  <c:v>706109.39637950691</c:v>
                </c:pt>
                <c:pt idx="19">
                  <c:v>638378.8440262283</c:v>
                </c:pt>
                <c:pt idx="20">
                  <c:v>573189.54884628742</c:v>
                </c:pt>
                <c:pt idx="21">
                  <c:v>511208.65107968583</c:v>
                </c:pt>
                <c:pt idx="22">
                  <c:v>452976.58021473349</c:v>
                </c:pt>
                <c:pt idx="23">
                  <c:v>398909.57332438033</c:v>
                </c:pt>
                <c:pt idx="24">
                  <c:v>349306.78678305761</c:v>
                </c:pt>
                <c:pt idx="25">
                  <c:v>304361.22589189745</c:v>
                </c:pt>
                <c:pt idx="26">
                  <c:v>264173.62349113665</c:v>
                </c:pt>
                <c:pt idx="27">
                  <c:v>228768.35861404694</c:v>
                </c:pt>
                <c:pt idx="28">
                  <c:v>198110.51348589297</c:v>
                </c:pt>
                <c:pt idx="29">
                  <c:v>172123.2132256942</c:v>
                </c:pt>
                <c:pt idx="30">
                  <c:v>150704.46779858865</c:v>
                </c:pt>
                <c:pt idx="31">
                  <c:v>133742.83030359325</c:v>
                </c:pt>
                <c:pt idx="32">
                  <c:v>121131.29060444565</c:v>
                </c:pt>
                <c:pt idx="33">
                  <c:v>112778.93122504733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'[1]ГР_3 рода'!$A$9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'[1]ГР_3 рода'!$B$1:$AJ$1</c:f>
              <c:numCache>
                <c:formatCode>General</c:formatCode>
                <c:ptCount val="35"/>
              </c:numCache>
            </c:numRef>
          </c:xVal>
          <c:yVal>
            <c:numRef>
              <c:f>'[1]ГР_3 рода'!$B$9:$AJ$9</c:f>
              <c:numCache>
                <c:formatCode>General</c:formatCode>
                <c:ptCount val="35"/>
                <c:pt idx="0">
                  <c:v>0</c:v>
                </c:pt>
                <c:pt idx="1">
                  <c:v>7800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'[1]ГР_3 рода'!$A$10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'[1]ГР_3 рода'!$B$1:$AJ$1</c:f>
              <c:numCache>
                <c:formatCode>General</c:formatCode>
                <c:ptCount val="35"/>
              </c:numCache>
            </c:numRef>
          </c:xVal>
          <c:yVal>
            <c:numRef>
              <c:f>'[1]ГР_3 рода'!$B$10:$AJ$10</c:f>
              <c:numCache>
                <c:formatCode>General</c:formatCode>
                <c:ptCount val="35"/>
                <c:pt idx="0">
                  <c:v>0</c:v>
                </c:pt>
                <c:pt idx="1">
                  <c:v>46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0.26666666666666666</c:v>
                </c:pt>
                <c:pt idx="7">
                  <c:v>0.26785714285714285</c:v>
                </c:pt>
                <c:pt idx="8">
                  <c:v>0.26794258373205743</c:v>
                </c:pt>
                <c:pt idx="9">
                  <c:v>0.26794871794871794</c:v>
                </c:pt>
                <c:pt idx="10">
                  <c:v>0.26794915836482308</c:v>
                </c:pt>
                <c:pt idx="11">
                  <c:v>0.26794918998527245</c:v>
                </c:pt>
                <c:pt idx="12">
                  <c:v>0.26794919225551855</c:v>
                </c:pt>
                <c:pt idx="13">
                  <c:v>0.26794919241851489</c:v>
                </c:pt>
                <c:pt idx="14">
                  <c:v>0.26794919243021753</c:v>
                </c:pt>
                <c:pt idx="15">
                  <c:v>0.26794919243105775</c:v>
                </c:pt>
                <c:pt idx="16">
                  <c:v>0.26794919243111803</c:v>
                </c:pt>
                <c:pt idx="17">
                  <c:v>0.26794919243112236</c:v>
                </c:pt>
                <c:pt idx="18">
                  <c:v>0.2679491924311227</c:v>
                </c:pt>
                <c:pt idx="19">
                  <c:v>0.2679491924311227</c:v>
                </c:pt>
                <c:pt idx="20">
                  <c:v>0.2679491924311227</c:v>
                </c:pt>
                <c:pt idx="21">
                  <c:v>0.2679491924311227</c:v>
                </c:pt>
                <c:pt idx="22">
                  <c:v>0.2679491924311227</c:v>
                </c:pt>
                <c:pt idx="23">
                  <c:v>0.2679491924311227</c:v>
                </c:pt>
                <c:pt idx="24">
                  <c:v>0.2679491924311227</c:v>
                </c:pt>
                <c:pt idx="25">
                  <c:v>0.2679491924311227</c:v>
                </c:pt>
                <c:pt idx="26">
                  <c:v>0.2679491924311227</c:v>
                </c:pt>
                <c:pt idx="27">
                  <c:v>0.2679491924311227</c:v>
                </c:pt>
                <c:pt idx="28">
                  <c:v>0.2679491924311227</c:v>
                </c:pt>
                <c:pt idx="29">
                  <c:v>0.2679491924311227</c:v>
                </c:pt>
                <c:pt idx="30">
                  <c:v>0.2679491924311227</c:v>
                </c:pt>
                <c:pt idx="31">
                  <c:v>0.2679491924311227</c:v>
                </c:pt>
                <c:pt idx="32">
                  <c:v>0.2679491924311227</c:v>
                </c:pt>
                <c:pt idx="33">
                  <c:v>0.2679491924311227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'[1]ГР_3 рода'!$A$11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'[1]ГР_3 рода'!$B$1:$AJ$1</c:f>
              <c:numCache>
                <c:formatCode>General</c:formatCode>
                <c:ptCount val="35"/>
              </c:numCache>
            </c:numRef>
          </c:xVal>
          <c:yVal>
            <c:numRef>
              <c:f>'[1]ГР_3 рода'!$B$11:$AJ$11</c:f>
              <c:numCache>
                <c:formatCode>General</c:formatCode>
                <c:ptCount val="35"/>
                <c:pt idx="0">
                  <c:v>0</c:v>
                </c:pt>
                <c:pt idx="1">
                  <c:v>63</c:v>
                </c:pt>
                <c:pt idx="3">
                  <c:v>0</c:v>
                </c:pt>
                <c:pt idx="4">
                  <c:v>92000</c:v>
                </c:pt>
                <c:pt idx="5">
                  <c:v>65881.357621750853</c:v>
                </c:pt>
                <c:pt idx="6">
                  <c:v>60006.071628776655</c:v>
                </c:pt>
                <c:pt idx="7">
                  <c:v>55431.046785880077</c:v>
                </c:pt>
                <c:pt idx="8">
                  <c:v>51023.344569980953</c:v>
                </c:pt>
                <c:pt idx="9">
                  <c:v>46735.700910068714</c:v>
                </c:pt>
                <c:pt idx="10">
                  <c:v>42590.188714259828</c:v>
                </c:pt>
                <c:pt idx="11">
                  <c:v>38610.67533874949</c:v>
                </c:pt>
                <c:pt idx="12">
                  <c:v>34817.982941459268</c:v>
                </c:pt>
                <c:pt idx="13">
                  <c:v>31229.29878154735</c:v>
                </c:pt>
                <c:pt idx="14">
                  <c:v>27857.975448095091</c:v>
                </c:pt>
                <c:pt idx="15">
                  <c:v>24713.466482817901</c:v>
                </c:pt>
                <c:pt idx="16">
                  <c:v>21801.375472785148</c:v>
                </c:pt>
                <c:pt idx="17">
                  <c:v>19123.607685716441</c:v>
                </c:pt>
                <c:pt idx="18">
                  <c:v>16678.610537876699</c:v>
                </c:pt>
                <c:pt idx="19">
                  <c:v>14461.686391764137</c:v>
                </c:pt>
                <c:pt idx="20">
                  <c:v>12465.359352267102</c:v>
                </c:pt>
                <c:pt idx="21">
                  <c:v>10679.776938712974</c:v>
                </c:pt>
                <c:pt idx="22">
                  <c:v>9093.1277094889992</c:v>
                </c:pt>
                <c:pt idx="23">
                  <c:v>7692.0570000506495</c:v>
                </c:pt>
                <c:pt idx="24">
                  <c:v>6462.0647566508551</c:v>
                </c:pt>
                <c:pt idx="25">
                  <c:v>5387.8718333846009</c:v>
                </c:pt>
                <c:pt idx="26">
                  <c:v>4453.7438850814315</c:v>
                </c:pt>
                <c:pt idx="27">
                  <c:v>3643.76495317018</c:v>
                </c:pt>
                <c:pt idx="28">
                  <c:v>2942.0558419940489</c:v>
                </c:pt>
                <c:pt idx="29">
                  <c:v>2332.935280318944</c:v>
                </c:pt>
                <c:pt idx="30">
                  <c:v>1801.0245484682669</c:v>
                </c:pt>
                <c:pt idx="31">
                  <c:v>1331.2986492324262</c:v>
                </c:pt>
                <c:pt idx="32">
                  <c:v>909.08916456053964</c:v>
                </c:pt>
                <c:pt idx="33">
                  <c:v>520.04565043423929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'[1]ГР_3 рода'!$A$12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'[1]ГР_3 рода'!$B$1:$AJ$1</c:f>
              <c:numCache>
                <c:formatCode>General</c:formatCode>
                <c:ptCount val="35"/>
              </c:numCache>
            </c:numRef>
          </c:xVal>
          <c:yVal>
            <c:numRef>
              <c:f>'[1]ГР_3 рода'!$B$12:$AJ$12</c:f>
              <c:numCache>
                <c:formatCode>General</c:formatCode>
                <c:ptCount val="35"/>
                <c:pt idx="0">
                  <c:v>0</c:v>
                </c:pt>
                <c:pt idx="1">
                  <c:v>92000</c:v>
                </c:pt>
                <c:pt idx="3">
                  <c:v>0</c:v>
                </c:pt>
                <c:pt idx="4">
                  <c:v>-710118306216.19373</c:v>
                </c:pt>
                <c:pt idx="5">
                  <c:v>-710115282216.19385</c:v>
                </c:pt>
                <c:pt idx="6">
                  <c:v>-658845441482.70886</c:v>
                </c:pt>
                <c:pt idx="7">
                  <c:v>-608317122579.427</c:v>
                </c:pt>
                <c:pt idx="8">
                  <c:v>-558880807781.84424</c:v>
                </c:pt>
                <c:pt idx="9">
                  <c:v>-510863474909.91461</c:v>
                </c:pt>
                <c:pt idx="10">
                  <c:v>-464562099382.89349</c:v>
                </c:pt>
                <c:pt idx="11">
                  <c:v>-420238212774.46619</c:v>
                </c:pt>
                <c:pt idx="12">
                  <c:v>-378113677258.15039</c:v>
                </c:pt>
                <c:pt idx="13">
                  <c:v>-338367775758.2442</c:v>
                </c:pt>
                <c:pt idx="14">
                  <c:v>-301135655286.59851</c:v>
                </c:pt>
                <c:pt idx="15">
                  <c:v>-266508099581.39041</c:v>
                </c:pt>
                <c:pt idx="16">
                  <c:v>-234532550249.92508</c:v>
                </c:pt>
                <c:pt idx="17">
                  <c:v>-205215246142.09872</c:v>
                </c:pt>
                <c:pt idx="18">
                  <c:v>-178524310958.95337</c:v>
                </c:pt>
                <c:pt idx="19">
                  <c:v>-154393590654.76193</c:v>
                </c:pt>
                <c:pt idx="20">
                  <c:v>-132727025708.37228</c:v>
                </c:pt>
                <c:pt idx="21">
                  <c:v>-113403338697.56017</c:v>
                </c:pt>
                <c:pt idx="22">
                  <c:v>-96280823965.443237</c:v>
                </c:pt>
                <c:pt idx="23">
                  <c:v>-81202042093.781662</c:v>
                </c:pt>
                <c:pt idx="24">
                  <c:v>-67998245553.38208</c:v>
                </c:pt>
                <c:pt idx="25">
                  <c:v>-56493391214.668358</c:v>
                </c:pt>
                <c:pt idx="26">
                  <c:v>-46507628246.703392</c:v>
                </c:pt>
                <c:pt idx="27">
                  <c:v>-37860184291.092422</c:v>
                </c:pt>
                <c:pt idx="28">
                  <c:v>-30371606881.325665</c:v>
                </c:pt>
                <c:pt idx="29">
                  <c:v>-23865349421.394424</c:v>
                </c:pt>
                <c:pt idx="30">
                  <c:v>-18168720538.607773</c:v>
                </c:pt>
                <c:pt idx="31">
                  <c:v>-13113241553.131948</c:v>
                </c:pt>
                <c:pt idx="32">
                  <c:v>-8534478768.2839031</c:v>
                </c:pt>
                <c:pt idx="33">
                  <c:v>-4271435167.9771137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'[1]ГР_3 рода'!$A$13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'[1]ГР_3 рода'!$B$1:$AJ$1</c:f>
              <c:numCache>
                <c:formatCode>General</c:formatCode>
                <c:ptCount val="35"/>
              </c:numCache>
            </c:numRef>
          </c:xVal>
          <c:yVal>
            <c:numRef>
              <c:f>'[1]ГР_3 рода'!$B$13:$AJ$13</c:f>
              <c:numCache>
                <c:formatCode>General</c:formatCode>
                <c:ptCount val="35"/>
                <c:pt idx="0">
                  <c:v>0</c:v>
                </c:pt>
                <c:pt idx="1">
                  <c:v>100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'[1]ГР_3 рода'!$A$14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'[1]ГР_3 рода'!$B$1:$AJ$1</c:f>
              <c:numCache>
                <c:formatCode>General</c:formatCode>
                <c:ptCount val="35"/>
              </c:numCache>
            </c:numRef>
          </c:xVal>
          <c:yVal>
            <c:numRef>
              <c:f>'[1]ГР_3 рода'!$B$14:$AJ$14</c:f>
              <c:numCache>
                <c:formatCode>General</c:formatCode>
                <c:ptCount val="35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'[1]ГР_3 рода'!$A$15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'[1]ГР_3 рода'!$B$1:$AJ$1</c:f>
              <c:numCache>
                <c:formatCode>General</c:formatCode>
                <c:ptCount val="35"/>
              </c:numCache>
            </c:numRef>
          </c:xVal>
          <c:yVal>
            <c:numRef>
              <c:f>'[1]ГР_3 рода'!$B$15:$AJ$15</c:f>
              <c:numCache>
                <c:formatCode>General</c:formatCode>
                <c:ptCount val="35"/>
                <c:pt idx="0">
                  <c:v>0</c:v>
                </c:pt>
                <c:pt idx="1">
                  <c:v>4139999.9999999991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'[1]ГР_3 рода'!$A$16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'[1]ГР_3 рода'!$B$1:$AJ$1</c:f>
              <c:numCache>
                <c:formatCode>General</c:formatCode>
                <c:ptCount val="35"/>
              </c:numCache>
            </c:numRef>
          </c:xVal>
          <c:yVal>
            <c:numRef>
              <c:f>'[1]ГР_3 рода'!$B$16:$AJ$16</c:f>
              <c:numCache>
                <c:formatCode>General</c:formatCode>
                <c:ptCount val="35"/>
                <c:pt idx="0">
                  <c:v>0</c:v>
                </c:pt>
                <c:pt idx="1">
                  <c:v>16559999.999999996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'[1]ГР_3 рода'!$A$17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'[1]ГР_3 рода'!$B$1:$AJ$1</c:f>
              <c:numCache>
                <c:formatCode>General</c:formatCode>
                <c:ptCount val="35"/>
              </c:numCache>
            </c:numRef>
          </c:xVal>
          <c:yVal>
            <c:numRef>
              <c:f>'[1]ГР_3 рода'!$B$17:$AJ$17</c:f>
              <c:numCache>
                <c:formatCode>General</c:formatCode>
                <c:ptCount val="35"/>
                <c:pt idx="0">
                  <c:v>0</c:v>
                </c:pt>
                <c:pt idx="1">
                  <c:v>4139999.9999999991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'[1]ГР_3 рода'!$A$18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'[1]ГР_3 рода'!$B$1:$AJ$1</c:f>
              <c:numCache>
                <c:formatCode>General</c:formatCode>
                <c:ptCount val="35"/>
              </c:numCache>
            </c:numRef>
          </c:xVal>
          <c:yVal>
            <c:numRef>
              <c:f>'[1]ГР_3 рода'!$B$18:$AJ$18</c:f>
              <c:numCache>
                <c:formatCode>General</c:formatCode>
                <c:ptCount val="35"/>
              </c:numCache>
            </c:numRef>
          </c:yVal>
          <c:smooth val="1"/>
        </c:ser>
        <c:ser>
          <c:idx val="18"/>
          <c:order val="18"/>
          <c:tx>
            <c:strRef>
              <c:f>'[1]ГР_3 рода'!$A$19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'[1]ГР_3 рода'!$B$1:$AJ$1</c:f>
              <c:numCache>
                <c:formatCode>General</c:formatCode>
                <c:ptCount val="35"/>
              </c:numCache>
            </c:numRef>
          </c:xVal>
          <c:yVal>
            <c:numRef>
              <c:f>'[1]ГР_3 рода'!$B$19:$AJ$19</c:f>
              <c:numCache>
                <c:formatCode>General</c:formatCode>
                <c:ptCount val="35"/>
              </c:numCache>
            </c:numRef>
          </c:yVal>
          <c:smooth val="1"/>
        </c:ser>
        <c:ser>
          <c:idx val="19"/>
          <c:order val="19"/>
          <c:tx>
            <c:strRef>
              <c:f>'[1]ГР_3 рода'!$A$20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'[1]ГР_3 рода'!$B$1:$AJ$1</c:f>
              <c:numCache>
                <c:formatCode>General</c:formatCode>
                <c:ptCount val="35"/>
              </c:numCache>
            </c:numRef>
          </c:xVal>
          <c:yVal>
            <c:numRef>
              <c:f>'[1]ГР_3 рода'!$B$20:$AJ$20</c:f>
              <c:numCache>
                <c:formatCode>General</c:formatCode>
                <c:ptCount val="3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651264"/>
        <c:axId val="134677632"/>
      </c:scatterChart>
      <c:valAx>
        <c:axId val="134651264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 Black" panose="020B0A04020102020204" pitchFamily="34" charset="0"/>
              </a:defRPr>
            </a:pPr>
            <a:endParaRPr lang="ru-RU"/>
          </a:p>
        </c:txPr>
        <c:crossAx val="134677632"/>
        <c:crosses val="autoZero"/>
        <c:crossBetween val="midCat"/>
      </c:valAx>
      <c:valAx>
        <c:axId val="134677632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 b="0" i="1">
                <a:latin typeface="Arial Black" panose="020B0A04020102020204" pitchFamily="34" charset="0"/>
                <a:cs typeface="Aharoni" panose="02010803020104030203" pitchFamily="2" charset="-79"/>
              </a:defRPr>
            </a:pPr>
            <a:endParaRPr lang="ru-RU"/>
          </a:p>
        </c:txPr>
        <c:crossAx val="134651264"/>
        <c:crosses val="autoZero"/>
        <c:crossBetween val="midCat"/>
      </c:valAx>
      <c:spPr>
        <a:gradFill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lin ang="5400000" scaled="0"/>
        </a:gradFill>
      </c:spPr>
    </c:plotArea>
    <c:plotVisOnly val="1"/>
    <c:dispBlanksAs val="gap"/>
    <c:showDLblsOverMax val="0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5400000" scaled="0"/>
    </a:gradFill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89110592452485"/>
          <c:y val="1.8405595306454997E-2"/>
          <c:w val="0.84055900821652252"/>
          <c:h val="0.88102419132691867"/>
        </c:manualLayout>
      </c:layout>
      <c:scatterChart>
        <c:scatterStyle val="smoothMarker"/>
        <c:varyColors val="0"/>
        <c:ser>
          <c:idx val="0"/>
          <c:order val="0"/>
          <c:spPr>
            <a:ln w="47625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'3'!$F$4:$AJ$4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'3'!$F$5:$AJ$5</c:f>
              <c:numCache>
                <c:formatCode>General</c:formatCode>
                <c:ptCount val="31"/>
                <c:pt idx="0">
                  <c:v>85763.080460892976</c:v>
                </c:pt>
                <c:pt idx="1">
                  <c:v>85762.715243501676</c:v>
                </c:pt>
                <c:pt idx="2">
                  <c:v>79570.705493080794</c:v>
                </c:pt>
                <c:pt idx="3">
                  <c:v>73468.251519254482</c:v>
                </c:pt>
                <c:pt idx="4">
                  <c:v>67497.682099256563</c:v>
                </c:pt>
                <c:pt idx="5">
                  <c:v>61698.487307960706</c:v>
                </c:pt>
                <c:pt idx="6">
                  <c:v>56106.533741895357</c:v>
                </c:pt>
                <c:pt idx="7">
                  <c:v>50753.407339911384</c:v>
                </c:pt>
                <c:pt idx="8">
                  <c:v>45665.903050501263</c:v>
                </c:pt>
                <c:pt idx="9">
                  <c:v>40865.673400754138</c:v>
                </c:pt>
                <c:pt idx="10">
                  <c:v>36369.04049355055</c:v>
                </c:pt>
                <c:pt idx="11">
                  <c:v>32186.968548477107</c:v>
                </c:pt>
                <c:pt idx="12">
                  <c:v>28325.187228251823</c:v>
                </c:pt>
                <c:pt idx="13">
                  <c:v>24784.450017161686</c:v>
                </c:pt>
                <c:pt idx="14">
                  <c:v>21560.907120646545</c:v>
                </c:pt>
                <c:pt idx="15">
                  <c:v>18646.568919657242</c:v>
                </c:pt>
                <c:pt idx="16">
                  <c:v>16029.834022750278</c:v>
                </c:pt>
                <c:pt idx="17">
                  <c:v>13696.05539825606</c:v>
                </c:pt>
                <c:pt idx="18">
                  <c:v>11628.118836406189</c:v>
                </c:pt>
                <c:pt idx="19">
                  <c:v>9807.0099147079309</c:v>
                </c:pt>
                <c:pt idx="20">
                  <c:v>8212.3484967852764</c:v>
                </c:pt>
                <c:pt idx="21">
                  <c:v>6822.873335104875</c:v>
                </c:pt>
                <c:pt idx="22">
                  <c:v>5616.8633148192512</c:v>
                </c:pt>
                <c:pt idx="23">
                  <c:v>4572.4860254942541</c:v>
                </c:pt>
                <c:pt idx="24">
                  <c:v>3668.0684639282208</c:v>
                </c:pt>
                <c:pt idx="25">
                  <c:v>2882.288577463095</c:v>
                </c:pt>
                <c:pt idx="26">
                  <c:v>2194.2899201217119</c:v>
                </c:pt>
                <c:pt idx="27">
                  <c:v>1583.7248252574818</c:v>
                </c:pt>
                <c:pt idx="28">
                  <c:v>1030.7341507589256</c:v>
                </c:pt>
                <c:pt idx="29">
                  <c:v>515.8738125576225</c:v>
                </c:pt>
                <c:pt idx="30">
                  <c:v>20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8080"/>
        <c:axId val="143279616"/>
      </c:scatterChart>
      <c:valAx>
        <c:axId val="143278080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 Black" panose="020B0A04020102020204" pitchFamily="34" charset="0"/>
              </a:defRPr>
            </a:pPr>
            <a:endParaRPr lang="ru-RU"/>
          </a:p>
        </c:txPr>
        <c:crossAx val="143279616"/>
        <c:crosses val="autoZero"/>
        <c:crossBetween val="midCat"/>
      </c:valAx>
      <c:valAx>
        <c:axId val="143279616"/>
        <c:scaling>
          <c:orientation val="minMax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 b="0" i="1">
                <a:latin typeface="Arial Black" panose="020B0A04020102020204" pitchFamily="34" charset="0"/>
                <a:cs typeface="Aharoni" panose="02010803020104030203" pitchFamily="2" charset="-79"/>
              </a:defRPr>
            </a:pPr>
            <a:endParaRPr lang="ru-RU"/>
          </a:p>
        </c:txPr>
        <c:crossAx val="143278080"/>
        <c:crosses val="autoZero"/>
        <c:crossBetween val="midCat"/>
      </c:valAx>
      <c:spPr>
        <a:gradFill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lin ang="5400000" scaled="0"/>
        </a:gradFill>
      </c:spPr>
    </c:plotArea>
    <c:plotVisOnly val="1"/>
    <c:dispBlanksAs val="gap"/>
    <c:showDLblsOverMax val="0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5400000" scaled="0"/>
    </a:gradFill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18</xdr:row>
      <xdr:rowOff>0</xdr:rowOff>
    </xdr:from>
    <xdr:to>
      <xdr:col>16</xdr:col>
      <xdr:colOff>319768</xdr:colOff>
      <xdr:row>48</xdr:row>
      <xdr:rowOff>122464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0.00243</cdr:x>
      <cdr:y>0.00637</cdr:y>
    </cdr:from>
    <cdr:to>
      <cdr:x>0.10194</cdr:x>
      <cdr:y>0.06509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3605" y="37193"/>
              <a:ext cx="557893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0" scaled="0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𝑻</m:t>
                    </m:r>
                    <m:r>
                      <a:rPr lang="en-US" sz="1600" b="1" i="1">
                        <a:latin typeface="Cambria Math"/>
                      </a:rPr>
                      <m:t>, [</m:t>
                    </m:r>
                    <m:r>
                      <a:rPr lang="en-US" sz="1600" b="1" i="1">
                        <a:latin typeface="Cambria Math"/>
                      </a:rPr>
                      <m:t>𝑪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cdr:txBody>
        </cdr:sp>
      </mc:Choice>
      <mc:Fallback xmlns="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3605" y="37193"/>
              <a:ext cx="557893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0" scaled="0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/>
                </a:rPr>
                <a:t>𝑻, [𝑪]</a:t>
              </a:r>
              <a:endParaRPr lang="ru-RU" sz="1600" b="1"/>
            </a:p>
          </cdr:txBody>
        </cdr:sp>
      </mc:Fallback>
    </mc:AlternateContent>
  </cdr:relSizeAnchor>
  <cdr:relSizeAnchor xmlns:cdr="http://schemas.openxmlformats.org/drawingml/2006/chartDrawing">
    <cdr:from>
      <cdr:x>0.87799</cdr:x>
      <cdr:y>0.92479</cdr:y>
    </cdr:from>
    <cdr:to>
      <cdr:x>0.98479</cdr:x>
      <cdr:y>0.98351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Box 3"/>
            <cdr:cNvSpPr txBox="1"/>
          </cdr:nvSpPr>
          <cdr:spPr>
            <a:xfrm xmlns:a="http://schemas.openxmlformats.org/drawingml/2006/main">
              <a:off x="4922157" y="5398407"/>
              <a:ext cx="598714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0" scaled="1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𝑳</m:t>
                    </m:r>
                    <m:r>
                      <a:rPr lang="en-US" sz="1600" b="1" i="1">
                        <a:latin typeface="Cambria Math"/>
                      </a:rPr>
                      <m:t>, [</m:t>
                    </m:r>
                    <m:r>
                      <a:rPr lang="en-US" sz="1600" b="1" i="1">
                        <a:latin typeface="Cambria Math"/>
                      </a:rPr>
                      <m:t>𝒎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cdr:txBody>
        </cdr:sp>
      </mc:Choice>
      <mc:Fallback xmlns="">
        <cdr:sp macro="" textlink="">
          <cdr:nvSpPr>
            <cdr:cNvPr id="4" name="TextBox 3"/>
            <cdr:cNvSpPr txBox="1"/>
          </cdr:nvSpPr>
          <cdr:spPr>
            <a:xfrm xmlns:a="http://schemas.openxmlformats.org/drawingml/2006/main">
              <a:off x="4922157" y="5398407"/>
              <a:ext cx="598714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0" scaled="1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/>
                </a:rPr>
                <a:t>𝑳, [𝒎]</a:t>
              </a:r>
              <a:endParaRPr lang="ru-RU" sz="1600" b="1"/>
            </a:p>
          </cdr:txBody>
        </cdr:sp>
      </mc:Fallback>
    </mc:AlternateContent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18</xdr:row>
      <xdr:rowOff>136071</xdr:rowOff>
    </xdr:from>
    <xdr:to>
      <xdr:col>14</xdr:col>
      <xdr:colOff>333375</xdr:colOff>
      <xdr:row>49</xdr:row>
      <xdr:rowOff>68035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0.00243</cdr:x>
      <cdr:y>0.00637</cdr:y>
    </cdr:from>
    <cdr:to>
      <cdr:x>0.10194</cdr:x>
      <cdr:y>0.06509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3605" y="37193"/>
              <a:ext cx="557893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5400000" scaled="0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𝑻</m:t>
                    </m:r>
                    <m:r>
                      <a:rPr lang="en-US" sz="1600" b="1" i="1">
                        <a:latin typeface="Cambria Math"/>
                      </a:rPr>
                      <m:t>, [</m:t>
                    </m:r>
                    <m:r>
                      <a:rPr lang="en-US" sz="1600" b="1" i="1">
                        <a:latin typeface="Cambria Math"/>
                      </a:rPr>
                      <m:t>𝑪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cdr:txBody>
        </cdr:sp>
      </mc:Choice>
      <mc:Fallback xmlns="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3605" y="37193"/>
              <a:ext cx="557893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5400000" scaled="0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/>
                </a:rPr>
                <a:t>𝑻, [𝑪]</a:t>
              </a:r>
              <a:endParaRPr lang="ru-RU" sz="1600" b="1"/>
            </a:p>
          </cdr:txBody>
        </cdr:sp>
      </mc:Fallback>
    </mc:AlternateContent>
  </cdr:relSizeAnchor>
  <cdr:relSizeAnchor xmlns:cdr="http://schemas.openxmlformats.org/drawingml/2006/chartDrawing">
    <cdr:from>
      <cdr:x>0.87799</cdr:x>
      <cdr:y>0.92479</cdr:y>
    </cdr:from>
    <cdr:to>
      <cdr:x>0.98479</cdr:x>
      <cdr:y>0.98351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Box 3"/>
            <cdr:cNvSpPr txBox="1"/>
          </cdr:nvSpPr>
          <cdr:spPr>
            <a:xfrm xmlns:a="http://schemas.openxmlformats.org/drawingml/2006/main">
              <a:off x="4922157" y="5398407"/>
              <a:ext cx="598714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5400000" scaled="0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𝑳</m:t>
                    </m:r>
                    <m:r>
                      <a:rPr lang="en-US" sz="1600" b="1" i="1">
                        <a:latin typeface="Cambria Math"/>
                      </a:rPr>
                      <m:t>, [</m:t>
                    </m:r>
                    <m:r>
                      <a:rPr lang="en-US" sz="1600" b="1" i="1">
                        <a:latin typeface="Cambria Math"/>
                      </a:rPr>
                      <m:t>𝒎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cdr:txBody>
        </cdr:sp>
      </mc:Choice>
      <mc:Fallback xmlns="">
        <cdr:sp macro="" textlink="">
          <cdr:nvSpPr>
            <cdr:cNvPr id="4" name="TextBox 3"/>
            <cdr:cNvSpPr txBox="1"/>
          </cdr:nvSpPr>
          <cdr:spPr>
            <a:xfrm xmlns:a="http://schemas.openxmlformats.org/drawingml/2006/main">
              <a:off x="4922157" y="5398407"/>
              <a:ext cx="598714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5400000" scaled="0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/>
                </a:rPr>
                <a:t>𝑳, [𝒎]</a:t>
              </a:r>
              <a:endParaRPr lang="ru-RU" sz="1600" b="1"/>
            </a:p>
          </cdr:txBody>
        </cdr:sp>
      </mc:Fallback>
    </mc:AlternateContent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349250</xdr:colOff>
      <xdr:row>18</xdr:row>
      <xdr:rowOff>47624</xdr:rowOff>
    </xdr:from>
    <xdr:to>
      <xdr:col>19</xdr:col>
      <xdr:colOff>367393</xdr:colOff>
      <xdr:row>61</xdr:row>
      <xdr:rowOff>95249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0.00243</cdr:x>
      <cdr:y>0.00637</cdr:y>
    </cdr:from>
    <cdr:to>
      <cdr:x>0.10194</cdr:x>
      <cdr:y>0.06509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3605" y="37193"/>
              <a:ext cx="557893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5400000" scaled="0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𝑻</m:t>
                    </m:r>
                    <m:r>
                      <a:rPr lang="en-US" sz="1600" b="1" i="1">
                        <a:latin typeface="Cambria Math"/>
                      </a:rPr>
                      <m:t>, [</m:t>
                    </m:r>
                    <m:r>
                      <a:rPr lang="en-US" sz="1600" b="1" i="1">
                        <a:latin typeface="Cambria Math"/>
                      </a:rPr>
                      <m:t>𝑪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cdr:txBody>
        </cdr:sp>
      </mc:Choice>
      <mc:Fallback xmlns="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3605" y="37193"/>
              <a:ext cx="557893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5400000" scaled="0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/>
                </a:rPr>
                <a:t>𝑻, [𝑪]</a:t>
              </a:r>
              <a:endParaRPr lang="ru-RU" sz="1600" b="1"/>
            </a:p>
          </cdr:txBody>
        </cdr:sp>
      </mc:Fallback>
    </mc:AlternateContent>
  </cdr:relSizeAnchor>
  <cdr:relSizeAnchor xmlns:cdr="http://schemas.openxmlformats.org/drawingml/2006/chartDrawing">
    <cdr:from>
      <cdr:x>0.89743</cdr:x>
      <cdr:y>0.91178</cdr:y>
    </cdr:from>
    <cdr:to>
      <cdr:x>0.994</cdr:x>
      <cdr:y>0.95339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4" name="TextBox 3"/>
            <cdr:cNvSpPr txBox="1"/>
          </cdr:nvSpPr>
          <cdr:spPr>
            <a:xfrm xmlns:a="http://schemas.openxmlformats.org/drawingml/2006/main">
              <a:off x="8735219" y="7512304"/>
              <a:ext cx="940057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5400000" scaled="0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𝑳</m:t>
                    </m:r>
                    <m:r>
                      <a:rPr lang="en-US" sz="1600" b="1" i="1">
                        <a:latin typeface="Cambria Math"/>
                      </a:rPr>
                      <m:t>, [</m:t>
                    </m:r>
                    <m:r>
                      <a:rPr lang="en-US" sz="1600" b="1" i="1">
                        <a:latin typeface="Cambria Math"/>
                      </a:rPr>
                      <m:t>𝒎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cdr:txBody>
        </cdr:sp>
      </mc:Choice>
      <mc:Fallback>
        <cdr:sp macro="" textlink="">
          <cdr:nvSpPr>
            <cdr:cNvPr id="4" name="TextBox 3"/>
            <cdr:cNvSpPr txBox="1"/>
          </cdr:nvSpPr>
          <cdr:spPr>
            <a:xfrm xmlns:a="http://schemas.openxmlformats.org/drawingml/2006/main">
              <a:off x="8735219" y="7512304"/>
              <a:ext cx="940057" cy="342786"/>
            </a:xfrm>
            <a:prstGeom xmlns:a="http://schemas.openxmlformats.org/drawingml/2006/main" prst="rect">
              <a:avLst/>
            </a:prstGeom>
            <a:gradFill xmlns:a="http://schemas.openxmlformats.org/drawingml/2006/main">
              <a:gsLst>
                <a:gs pos="0">
                  <a:srgbClr val="FFEFD1"/>
                </a:gs>
                <a:gs pos="64999">
                  <a:srgbClr val="F0EBD5"/>
                </a:gs>
                <a:gs pos="100000">
                  <a:srgbClr val="D1C39F"/>
                </a:gs>
              </a:gsLst>
              <a:lin ang="5400000" scaled="0"/>
            </a:gra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/>
                </a:rPr>
                <a:t>𝑳, [𝒎]</a:t>
              </a:r>
              <a:endParaRPr lang="ru-RU" sz="1600" b="1"/>
            </a:p>
          </cdr:txBody>
        </cdr:sp>
      </mc:Fallback>
    </mc:AlternateContent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0;&#1086;&#1087;&#1080;&#1103;%20MKR_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Р_1 рода"/>
      <sheetName val="ГР_2 рода"/>
      <sheetName val="ГР_3 рода"/>
    </sheetNames>
    <sheetDataSet>
      <sheetData sheetId="0"/>
      <sheetData sheetId="1"/>
      <sheetData sheetId="2">
        <row r="3">
          <cell r="B3" t="str">
            <v>L</v>
          </cell>
          <cell r="C3">
            <v>0.1</v>
          </cell>
          <cell r="F3">
            <v>1</v>
          </cell>
          <cell r="G3">
            <v>2</v>
          </cell>
          <cell r="H3">
            <v>3</v>
          </cell>
          <cell r="I3">
            <v>4</v>
          </cell>
          <cell r="J3">
            <v>5</v>
          </cell>
          <cell r="K3">
            <v>6</v>
          </cell>
          <cell r="L3">
            <v>7</v>
          </cell>
          <cell r="M3">
            <v>8</v>
          </cell>
          <cell r="N3">
            <v>9</v>
          </cell>
          <cell r="O3">
            <v>10</v>
          </cell>
          <cell r="P3">
            <v>11</v>
          </cell>
          <cell r="Q3">
            <v>12</v>
          </cell>
          <cell r="R3">
            <v>13</v>
          </cell>
          <cell r="S3">
            <v>14</v>
          </cell>
          <cell r="T3">
            <v>15</v>
          </cell>
          <cell r="U3">
            <v>16</v>
          </cell>
          <cell r="V3">
            <v>17</v>
          </cell>
          <cell r="W3">
            <v>18</v>
          </cell>
          <cell r="X3">
            <v>19</v>
          </cell>
          <cell r="Y3">
            <v>20</v>
          </cell>
          <cell r="Z3">
            <v>21</v>
          </cell>
          <cell r="AA3">
            <v>22</v>
          </cell>
          <cell r="AB3">
            <v>23</v>
          </cell>
          <cell r="AC3">
            <v>24</v>
          </cell>
          <cell r="AD3">
            <v>25</v>
          </cell>
          <cell r="AE3">
            <v>26</v>
          </cell>
          <cell r="AF3">
            <v>27</v>
          </cell>
          <cell r="AG3">
            <v>28</v>
          </cell>
          <cell r="AH3">
            <v>29</v>
          </cell>
          <cell r="AI3">
            <v>30</v>
          </cell>
          <cell r="AJ3">
            <v>31</v>
          </cell>
        </row>
        <row r="4">
          <cell r="B4" t="str">
            <v>dx</v>
          </cell>
          <cell r="C4">
            <v>3.3333333333333335E-3</v>
          </cell>
          <cell r="E4" t="str">
            <v>L</v>
          </cell>
          <cell r="F4">
            <v>0</v>
          </cell>
          <cell r="G4">
            <v>3.3333333333333335E-3</v>
          </cell>
          <cell r="H4">
            <v>6.6666666666666671E-3</v>
          </cell>
          <cell r="I4">
            <v>0.01</v>
          </cell>
          <cell r="J4">
            <v>1.3333333333333334E-2</v>
          </cell>
          <cell r="K4">
            <v>1.6666666666666666E-2</v>
          </cell>
          <cell r="L4">
            <v>0.02</v>
          </cell>
          <cell r="M4">
            <v>2.3333333333333334E-2</v>
          </cell>
          <cell r="N4">
            <v>2.6666666666666668E-2</v>
          </cell>
          <cell r="O4">
            <v>3.0000000000000002E-2</v>
          </cell>
          <cell r="P4">
            <v>3.3333333333333333E-2</v>
          </cell>
          <cell r="Q4">
            <v>3.6666666666666667E-2</v>
          </cell>
          <cell r="R4">
            <v>0.04</v>
          </cell>
          <cell r="S4">
            <v>4.3333333333333335E-2</v>
          </cell>
          <cell r="T4">
            <v>4.6666666666666669E-2</v>
          </cell>
          <cell r="U4">
            <v>0.05</v>
          </cell>
          <cell r="V4">
            <v>5.3333333333333337E-2</v>
          </cell>
          <cell r="W4">
            <v>5.6666666666666671E-2</v>
          </cell>
          <cell r="X4">
            <v>6.0000000000000005E-2</v>
          </cell>
          <cell r="Y4">
            <v>6.3333333333333339E-2</v>
          </cell>
          <cell r="Z4">
            <v>6.6666666666666666E-2</v>
          </cell>
          <cell r="AA4">
            <v>7.0000000000000007E-2</v>
          </cell>
          <cell r="AB4">
            <v>7.3333333333333334E-2</v>
          </cell>
          <cell r="AC4">
            <v>7.6666666666666675E-2</v>
          </cell>
          <cell r="AD4">
            <v>0.08</v>
          </cell>
          <cell r="AE4">
            <v>8.3333333333333343E-2</v>
          </cell>
          <cell r="AF4">
            <v>8.666666666666667E-2</v>
          </cell>
          <cell r="AG4">
            <v>9.0000000000000011E-2</v>
          </cell>
          <cell r="AH4">
            <v>9.3333333333333338E-2</v>
          </cell>
          <cell r="AI4">
            <v>9.6666666666666679E-2</v>
          </cell>
          <cell r="AJ4">
            <v>0.1</v>
          </cell>
        </row>
        <row r="5">
          <cell r="B5" t="str">
            <v>dt</v>
          </cell>
          <cell r="C5">
            <v>0.4333333333333334</v>
          </cell>
          <cell r="E5" t="str">
            <v>T</v>
          </cell>
          <cell r="F5">
            <v>85763.080460892976</v>
          </cell>
          <cell r="G5">
            <v>85762.715243501676</v>
          </cell>
          <cell r="H5">
            <v>79570.705493080794</v>
          </cell>
          <cell r="I5">
            <v>73468.251519254482</v>
          </cell>
          <cell r="J5">
            <v>67497.682099256563</v>
          </cell>
          <cell r="K5">
            <v>61698.487307960706</v>
          </cell>
          <cell r="L5">
            <v>56106.533741895357</v>
          </cell>
          <cell r="M5">
            <v>50753.407339911384</v>
          </cell>
          <cell r="N5">
            <v>45665.903050501263</v>
          </cell>
          <cell r="O5">
            <v>40865.673400754138</v>
          </cell>
          <cell r="P5">
            <v>36369.04049355055</v>
          </cell>
          <cell r="Q5">
            <v>32186.968548477107</v>
          </cell>
          <cell r="R5">
            <v>28325.187228251823</v>
          </cell>
          <cell r="S5">
            <v>24784.450017161686</v>
          </cell>
          <cell r="T5">
            <v>21560.907120646545</v>
          </cell>
          <cell r="U5">
            <v>18646.568919657242</v>
          </cell>
          <cell r="V5">
            <v>16029.834022750278</v>
          </cell>
          <cell r="W5">
            <v>13696.05539825606</v>
          </cell>
          <cell r="X5">
            <v>11628.118836406189</v>
          </cell>
          <cell r="Y5">
            <v>9807.0099147079309</v>
          </cell>
          <cell r="Z5">
            <v>8212.3484967852764</v>
          </cell>
          <cell r="AA5">
            <v>6822.873335104875</v>
          </cell>
          <cell r="AB5">
            <v>5616.8633148192512</v>
          </cell>
          <cell r="AC5">
            <v>4572.4860254942541</v>
          </cell>
          <cell r="AD5">
            <v>3668.0684639282208</v>
          </cell>
          <cell r="AE5">
            <v>2882.288577463095</v>
          </cell>
          <cell r="AF5">
            <v>2194.2899201217119</v>
          </cell>
          <cell r="AG5">
            <v>1583.7248252574818</v>
          </cell>
          <cell r="AH5">
            <v>1030.7341507589256</v>
          </cell>
          <cell r="AI5">
            <v>515.8738125576225</v>
          </cell>
          <cell r="AJ5">
            <v>20</v>
          </cell>
        </row>
        <row r="6">
          <cell r="B6" t="str">
            <v>t</v>
          </cell>
          <cell r="C6">
            <v>60</v>
          </cell>
          <cell r="D6">
            <v>60.233333333333341</v>
          </cell>
        </row>
        <row r="7">
          <cell r="E7" t="str">
            <v>T_iter</v>
          </cell>
          <cell r="G7">
            <v>85785.108632023708</v>
          </cell>
          <cell r="H7">
            <v>79615.004041091393</v>
          </cell>
          <cell r="I7">
            <v>73533.496546180249</v>
          </cell>
          <cell r="J7">
            <v>67582.47910512067</v>
          </cell>
          <cell r="K7">
            <v>61801.055675789314</v>
          </cell>
          <cell r="L7">
            <v>56224.768982115165</v>
          </cell>
          <cell r="M7">
            <v>50884.952768880619</v>
          </cell>
          <cell r="N7">
            <v>45808.227413584544</v>
          </cell>
          <cell r="O7">
            <v>41016.150784455029</v>
          </cell>
          <cell r="P7">
            <v>36525.028922727302</v>
          </cell>
          <cell r="Q7">
            <v>32345.883919353044</v>
          </cell>
          <cell r="R7">
            <v>28484.56965773067</v>
          </cell>
          <cell r="S7">
            <v>24942.020255065989</v>
          </cell>
          <cell r="T7">
            <v>21714.611328209921</v>
          </cell>
          <cell r="U7">
            <v>18794.610816480606</v>
          </cell>
          <cell r="V7">
            <v>16170.694098398009</v>
          </cell>
          <cell r="W7">
            <v>13828.497531610874</v>
          </cell>
          <cell r="X7">
            <v>11751.185231533362</v>
          </cell>
          <cell r="Y7">
            <v>9920.005721710193</v>
          </cell>
          <cell r="Z7">
            <v>8314.8178258915432</v>
          </cell>
          <cell r="AA7">
            <v>6914.568588285425</v>
          </cell>
          <cell r="AB7">
            <v>5697.709857040406</v>
          </cell>
          <cell r="AC7">
            <v>4642.5442102376946</v>
          </cell>
          <cell r="AD7">
            <v>3727.4949329218634</v>
          </cell>
          <cell r="AE7">
            <v>2931.2985935933157</v>
          </cell>
          <cell r="AF7">
            <v>2233.1222865252084</v>
          </cell>
          <cell r="AG7">
            <v>1612.6107122640938</v>
          </cell>
          <cell r="AH7">
            <v>1049.8709120162018</v>
          </cell>
          <cell r="AI7">
            <v>525.40463428286171</v>
          </cell>
          <cell r="AJ7">
            <v>20</v>
          </cell>
        </row>
        <row r="8">
          <cell r="B8" t="str">
            <v>Cp</v>
          </cell>
          <cell r="C8">
            <v>460</v>
          </cell>
          <cell r="E8" t="str">
            <v>q</v>
          </cell>
          <cell r="F8">
            <v>80</v>
          </cell>
          <cell r="G8">
            <v>79.999999998974431</v>
          </cell>
          <cell r="H8">
            <v>1356344.9929493361</v>
          </cell>
          <cell r="I8">
            <v>1336728.0133143349</v>
          </cell>
          <cell r="J8">
            <v>1307839.0158090678</v>
          </cell>
          <cell r="K8">
            <v>1270299.8114267113</v>
          </cell>
          <cell r="L8">
            <v>1224904.1144714572</v>
          </cell>
          <cell r="M8">
            <v>1172589.5928155368</v>
          </cell>
          <cell r="N8">
            <v>1114405.7014898357</v>
          </cell>
          <cell r="O8">
            <v>1051478.875658894</v>
          </cell>
          <cell r="P8">
            <v>984976.73205411911</v>
          </cell>
          <cell r="Q8">
            <v>916072.90225418273</v>
          </cell>
          <cell r="R8">
            <v>845914.00347791915</v>
          </cell>
          <cell r="S8">
            <v>775590.05576260155</v>
          </cell>
          <cell r="T8">
            <v>706109.39637950691</v>
          </cell>
          <cell r="U8">
            <v>638378.8440262283</v>
          </cell>
          <cell r="V8">
            <v>573189.54884628742</v>
          </cell>
          <cell r="W8">
            <v>511208.65107968583</v>
          </cell>
          <cell r="X8">
            <v>452976.58021473349</v>
          </cell>
          <cell r="Y8">
            <v>398909.57332438033</v>
          </cell>
          <cell r="Z8">
            <v>349306.78678305761</v>
          </cell>
          <cell r="AA8">
            <v>304361.22589189745</v>
          </cell>
          <cell r="AB8">
            <v>264173.62349113665</v>
          </cell>
          <cell r="AC8">
            <v>228768.35861404694</v>
          </cell>
          <cell r="AD8">
            <v>198110.51348589297</v>
          </cell>
          <cell r="AE8">
            <v>172123.2132256942</v>
          </cell>
          <cell r="AF8">
            <v>150704.46779858865</v>
          </cell>
          <cell r="AG8">
            <v>133742.83030359325</v>
          </cell>
          <cell r="AH8">
            <v>121131.29060444565</v>
          </cell>
          <cell r="AI8">
            <v>112778.93122504733</v>
          </cell>
        </row>
        <row r="9">
          <cell r="B9" t="str">
            <v>ρ</v>
          </cell>
          <cell r="C9">
            <v>7800</v>
          </cell>
        </row>
        <row r="10">
          <cell r="B10" t="str">
            <v>λ</v>
          </cell>
          <cell r="C10">
            <v>46</v>
          </cell>
          <cell r="E10" t="str">
            <v>alfa</v>
          </cell>
          <cell r="F10">
            <v>0</v>
          </cell>
          <cell r="G10">
            <v>0.25</v>
          </cell>
          <cell r="H10">
            <v>0.26666666666666666</v>
          </cell>
          <cell r="I10">
            <v>0.26785714285714285</v>
          </cell>
          <cell r="J10">
            <v>0.26794258373205743</v>
          </cell>
          <cell r="K10">
            <v>0.26794871794871794</v>
          </cell>
          <cell r="L10">
            <v>0.26794915836482308</v>
          </cell>
          <cell r="M10">
            <v>0.26794918998527245</v>
          </cell>
          <cell r="N10">
            <v>0.26794919225551855</v>
          </cell>
          <cell r="O10">
            <v>0.26794919241851489</v>
          </cell>
          <cell r="P10">
            <v>0.26794919243021753</v>
          </cell>
          <cell r="Q10">
            <v>0.26794919243105775</v>
          </cell>
          <cell r="R10">
            <v>0.26794919243111803</v>
          </cell>
          <cell r="S10">
            <v>0.26794919243112236</v>
          </cell>
          <cell r="T10">
            <v>0.2679491924311227</v>
          </cell>
          <cell r="U10">
            <v>0.2679491924311227</v>
          </cell>
          <cell r="V10">
            <v>0.2679491924311227</v>
          </cell>
          <cell r="W10">
            <v>0.2679491924311227</v>
          </cell>
          <cell r="X10">
            <v>0.2679491924311227</v>
          </cell>
          <cell r="Y10">
            <v>0.2679491924311227</v>
          </cell>
          <cell r="Z10">
            <v>0.2679491924311227</v>
          </cell>
          <cell r="AA10">
            <v>0.2679491924311227</v>
          </cell>
          <cell r="AB10">
            <v>0.2679491924311227</v>
          </cell>
          <cell r="AC10">
            <v>0.2679491924311227</v>
          </cell>
          <cell r="AD10">
            <v>0.2679491924311227</v>
          </cell>
          <cell r="AE10">
            <v>0.2679491924311227</v>
          </cell>
          <cell r="AF10">
            <v>0.2679491924311227</v>
          </cell>
          <cell r="AG10">
            <v>0.2679491924311227</v>
          </cell>
          <cell r="AH10">
            <v>0.2679491924311227</v>
          </cell>
          <cell r="AI10">
            <v>0.2679491924311227</v>
          </cell>
        </row>
        <row r="11">
          <cell r="B11" t="str">
            <v>α</v>
          </cell>
          <cell r="C11">
            <v>63</v>
          </cell>
          <cell r="E11" t="str">
            <v>betta</v>
          </cell>
          <cell r="F11">
            <v>92000</v>
          </cell>
          <cell r="G11">
            <v>65881.357621750853</v>
          </cell>
          <cell r="H11">
            <v>60006.071628776655</v>
          </cell>
          <cell r="I11">
            <v>55431.046785880077</v>
          </cell>
          <cell r="J11">
            <v>51023.344569980953</v>
          </cell>
          <cell r="K11">
            <v>46735.700910068714</v>
          </cell>
          <cell r="L11">
            <v>42590.188714259828</v>
          </cell>
          <cell r="M11">
            <v>38610.67533874949</v>
          </cell>
          <cell r="N11">
            <v>34817.982941459268</v>
          </cell>
          <cell r="O11">
            <v>31229.29878154735</v>
          </cell>
          <cell r="P11">
            <v>27857.975448095091</v>
          </cell>
          <cell r="Q11">
            <v>24713.466482817901</v>
          </cell>
          <cell r="R11">
            <v>21801.375472785148</v>
          </cell>
          <cell r="S11">
            <v>19123.607685716441</v>
          </cell>
          <cell r="T11">
            <v>16678.610537876699</v>
          </cell>
          <cell r="U11">
            <v>14461.686391764137</v>
          </cell>
          <cell r="V11">
            <v>12465.359352267102</v>
          </cell>
          <cell r="W11">
            <v>10679.776938712974</v>
          </cell>
          <cell r="X11">
            <v>9093.1277094889992</v>
          </cell>
          <cell r="Y11">
            <v>7692.0570000506495</v>
          </cell>
          <cell r="Z11">
            <v>6462.0647566508551</v>
          </cell>
          <cell r="AA11">
            <v>5387.8718333846009</v>
          </cell>
          <cell r="AB11">
            <v>4453.7438850814315</v>
          </cell>
          <cell r="AC11">
            <v>3643.76495317018</v>
          </cell>
          <cell r="AD11">
            <v>2942.0558419940489</v>
          </cell>
          <cell r="AE11">
            <v>2332.935280318944</v>
          </cell>
          <cell r="AF11">
            <v>1801.0245484682669</v>
          </cell>
          <cell r="AG11">
            <v>1331.2986492324262</v>
          </cell>
          <cell r="AH11">
            <v>909.08916456053964</v>
          </cell>
          <cell r="AI11">
            <v>520.04565043423929</v>
          </cell>
        </row>
        <row r="12">
          <cell r="B12" t="str">
            <v>q_start</v>
          </cell>
          <cell r="C12">
            <v>92000</v>
          </cell>
          <cell r="E12" t="str">
            <v>F</v>
          </cell>
          <cell r="F12">
            <v>-710118306216.19373</v>
          </cell>
          <cell r="G12">
            <v>-710115282216.19385</v>
          </cell>
          <cell r="H12">
            <v>-658845441482.70886</v>
          </cell>
          <cell r="I12">
            <v>-608317122579.427</v>
          </cell>
          <cell r="J12">
            <v>-558880807781.84424</v>
          </cell>
          <cell r="K12">
            <v>-510863474909.91461</v>
          </cell>
          <cell r="L12">
            <v>-464562099382.89349</v>
          </cell>
          <cell r="M12">
            <v>-420238212774.46619</v>
          </cell>
          <cell r="N12">
            <v>-378113677258.15039</v>
          </cell>
          <cell r="O12">
            <v>-338367775758.2442</v>
          </cell>
          <cell r="P12">
            <v>-301135655286.59851</v>
          </cell>
          <cell r="Q12">
            <v>-266508099581.39041</v>
          </cell>
          <cell r="R12">
            <v>-234532550249.92508</v>
          </cell>
          <cell r="S12">
            <v>-205215246142.09872</v>
          </cell>
          <cell r="T12">
            <v>-178524310958.95337</v>
          </cell>
          <cell r="U12">
            <v>-154393590654.76193</v>
          </cell>
          <cell r="V12">
            <v>-132727025708.37228</v>
          </cell>
          <cell r="W12">
            <v>-113403338697.56017</v>
          </cell>
          <cell r="X12">
            <v>-96280823965.443237</v>
          </cell>
          <cell r="Y12">
            <v>-81202042093.781662</v>
          </cell>
          <cell r="Z12">
            <v>-67998245553.38208</v>
          </cell>
          <cell r="AA12">
            <v>-56493391214.668358</v>
          </cell>
          <cell r="AB12">
            <v>-46507628246.703392</v>
          </cell>
          <cell r="AC12">
            <v>-37860184291.092422</v>
          </cell>
          <cell r="AD12">
            <v>-30371606881.325665</v>
          </cell>
          <cell r="AE12">
            <v>-23865349421.394424</v>
          </cell>
          <cell r="AF12">
            <v>-18168720538.607773</v>
          </cell>
          <cell r="AG12">
            <v>-13113241553.131948</v>
          </cell>
          <cell r="AH12">
            <v>-8534478768.2839031</v>
          </cell>
          <cell r="AI12">
            <v>-4271435167.9771137</v>
          </cell>
        </row>
        <row r="13">
          <cell r="B13" t="str">
            <v>T_end</v>
          </cell>
          <cell r="C13">
            <v>100</v>
          </cell>
        </row>
        <row r="14">
          <cell r="B14" t="str">
            <v>T_gas</v>
          </cell>
          <cell r="C14">
            <v>20</v>
          </cell>
        </row>
        <row r="15">
          <cell r="B15" t="str">
            <v>A</v>
          </cell>
          <cell r="C15">
            <v>4139999.9999999991</v>
          </cell>
        </row>
        <row r="16">
          <cell r="B16" t="str">
            <v>B</v>
          </cell>
          <cell r="C16">
            <v>16559999.999999996</v>
          </cell>
        </row>
        <row r="17">
          <cell r="B17" t="str">
            <v>C</v>
          </cell>
          <cell r="C17">
            <v>4139999.9999999991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3" tint="-0.249977111117893"/>
  </sheetPr>
  <dimension ref="B3:AJ17"/>
  <sheetViews>
    <sheetView tabSelected="1" zoomScale="60" zoomScaleNormal="60" workbookViewId="0">
      <selection activeCell="E23" sqref="E22:E23"/>
    </sheetView>
  </sheetViews>
  <sheetFormatPr defaultRowHeight="15" x14ac:dyDescent="0.25"/>
  <cols>
    <col min="6" max="6" width="12" bestFit="1" customWidth="1"/>
  </cols>
  <sheetData>
    <row r="3" spans="2:36" x14ac:dyDescent="0.25">
      <c r="B3" s="2" t="s">
        <v>0</v>
      </c>
      <c r="C3" s="2">
        <v>0.1</v>
      </c>
      <c r="D3" s="1"/>
      <c r="E3" s="1"/>
      <c r="F3" s="2">
        <v>1</v>
      </c>
      <c r="G3" s="2">
        <v>2</v>
      </c>
      <c r="H3" s="2">
        <v>3</v>
      </c>
      <c r="I3" s="2">
        <v>4</v>
      </c>
      <c r="J3" s="2">
        <v>5</v>
      </c>
      <c r="K3" s="2">
        <v>6</v>
      </c>
      <c r="L3" s="2">
        <v>7</v>
      </c>
      <c r="M3" s="2">
        <v>8</v>
      </c>
      <c r="N3" s="2">
        <v>9</v>
      </c>
      <c r="O3" s="2">
        <v>10</v>
      </c>
      <c r="P3" s="2">
        <v>11</v>
      </c>
      <c r="Q3" s="2">
        <v>12</v>
      </c>
      <c r="R3" s="2">
        <v>13</v>
      </c>
      <c r="S3" s="2">
        <v>14</v>
      </c>
      <c r="T3" s="2">
        <v>15</v>
      </c>
      <c r="U3" s="2">
        <v>16</v>
      </c>
      <c r="V3" s="2">
        <v>17</v>
      </c>
      <c r="W3" s="2">
        <v>18</v>
      </c>
      <c r="X3" s="2">
        <v>19</v>
      </c>
      <c r="Y3" s="2">
        <v>20</v>
      </c>
      <c r="Z3" s="2">
        <v>21</v>
      </c>
      <c r="AA3" s="2">
        <v>22</v>
      </c>
      <c r="AB3" s="2">
        <v>23</v>
      </c>
      <c r="AC3" s="2">
        <v>24</v>
      </c>
      <c r="AD3" s="2">
        <v>25</v>
      </c>
      <c r="AE3" s="2">
        <v>26</v>
      </c>
      <c r="AF3" s="2">
        <v>27</v>
      </c>
      <c r="AG3" s="2">
        <v>28</v>
      </c>
      <c r="AH3" s="2">
        <v>29</v>
      </c>
      <c r="AI3" s="2">
        <v>30</v>
      </c>
      <c r="AJ3" s="2">
        <v>31</v>
      </c>
    </row>
    <row r="4" spans="2:36" x14ac:dyDescent="0.25">
      <c r="B4" s="2" t="s">
        <v>1</v>
      </c>
      <c r="C4" s="5">
        <v>3.3333333333333335E-3</v>
      </c>
      <c r="D4" s="1"/>
      <c r="E4" s="1" t="s">
        <v>0</v>
      </c>
      <c r="F4" s="4">
        <v>0</v>
      </c>
      <c r="G4" s="4">
        <v>3.3333333333333335E-3</v>
      </c>
      <c r="H4" s="4">
        <v>6.6666666666666671E-3</v>
      </c>
      <c r="I4" s="4">
        <v>0.01</v>
      </c>
      <c r="J4" s="4">
        <v>1.3333333333333334E-2</v>
      </c>
      <c r="K4" s="4">
        <v>1.6666666666666666E-2</v>
      </c>
      <c r="L4" s="4">
        <v>0.02</v>
      </c>
      <c r="M4" s="4">
        <v>2.3333333333333334E-2</v>
      </c>
      <c r="N4" s="4">
        <v>2.6666666666666668E-2</v>
      </c>
      <c r="O4" s="4">
        <v>3.0000000000000002E-2</v>
      </c>
      <c r="P4" s="4">
        <v>3.3333333333333333E-2</v>
      </c>
      <c r="Q4" s="4">
        <v>3.6666666666666667E-2</v>
      </c>
      <c r="R4" s="4">
        <v>0.04</v>
      </c>
      <c r="S4" s="4">
        <v>4.3333333333333335E-2</v>
      </c>
      <c r="T4" s="4">
        <v>4.6666666666666669E-2</v>
      </c>
      <c r="U4" s="4">
        <v>0.05</v>
      </c>
      <c r="V4" s="4">
        <v>5.3333333333333337E-2</v>
      </c>
      <c r="W4" s="4">
        <v>5.6666666666666671E-2</v>
      </c>
      <c r="X4" s="4">
        <v>6.0000000000000005E-2</v>
      </c>
      <c r="Y4" s="4">
        <v>6.3333333333333339E-2</v>
      </c>
      <c r="Z4" s="4">
        <v>6.6666666666666666E-2</v>
      </c>
      <c r="AA4" s="4">
        <v>7.0000000000000007E-2</v>
      </c>
      <c r="AB4" s="4">
        <v>7.3333333333333334E-2</v>
      </c>
      <c r="AC4" s="4">
        <v>7.6666666666666675E-2</v>
      </c>
      <c r="AD4" s="4">
        <v>0.08</v>
      </c>
      <c r="AE4" s="4">
        <v>8.3333333333333343E-2</v>
      </c>
      <c r="AF4" s="4">
        <v>8.666666666666667E-2</v>
      </c>
      <c r="AG4" s="4">
        <v>9.0000000000000011E-2</v>
      </c>
      <c r="AH4" s="4">
        <v>9.3333333333333338E-2</v>
      </c>
      <c r="AI4" s="4">
        <v>9.6666666666666679E-2</v>
      </c>
      <c r="AJ4" s="4">
        <v>0.1</v>
      </c>
    </row>
    <row r="5" spans="2:36" x14ac:dyDescent="0.25">
      <c r="B5" s="2" t="s">
        <v>2</v>
      </c>
      <c r="C5" s="5">
        <v>5</v>
      </c>
      <c r="D5" s="1"/>
      <c r="E5" s="1" t="s">
        <v>3</v>
      </c>
      <c r="F5" s="1">
        <v>300</v>
      </c>
      <c r="G5" s="1">
        <v>293.32891828066874</v>
      </c>
      <c r="H5" s="1">
        <v>286.65788493357832</v>
      </c>
      <c r="I5" s="1">
        <v>279.98694780099339</v>
      </c>
      <c r="J5" s="1">
        <v>273.31615367103211</v>
      </c>
      <c r="K5" s="1">
        <v>266.6455477650461</v>
      </c>
      <c r="L5" s="1">
        <v>259.97517324216562</v>
      </c>
      <c r="M5" s="1">
        <v>253.30507072643934</v>
      </c>
      <c r="N5" s="1">
        <v>246.63527786174859</v>
      </c>
      <c r="O5" s="1">
        <v>239.96582889937309</v>
      </c>
      <c r="P5" s="1">
        <v>233.29675432272683</v>
      </c>
      <c r="Q5" s="1">
        <v>226.62808051337544</v>
      </c>
      <c r="R5" s="1">
        <v>219.95982946199422</v>
      </c>
      <c r="S5" s="1">
        <v>213.29201852743358</v>
      </c>
      <c r="T5" s="1">
        <v>206.62466024653207</v>
      </c>
      <c r="U5" s="1">
        <v>199.95776219675997</v>
      </c>
      <c r="V5" s="1">
        <v>193.29132691319904</v>
      </c>
      <c r="W5" s="1">
        <v>186.62535186076747</v>
      </c>
      <c r="X5" s="1">
        <v>179.95982946199504</v>
      </c>
      <c r="Y5" s="1">
        <v>173.2947471800432</v>
      </c>
      <c r="Z5" s="1">
        <v>166.63008765606148</v>
      </c>
      <c r="AA5" s="1">
        <v>159.96582889937454</v>
      </c>
      <c r="AB5" s="1">
        <v>153.30194452841681</v>
      </c>
      <c r="AC5" s="1">
        <v>146.63840405977425</v>
      </c>
      <c r="AD5" s="1">
        <v>139.97517324216707</v>
      </c>
      <c r="AE5" s="1">
        <v>133.31221443171404</v>
      </c>
      <c r="AF5" s="1">
        <v>126.64948700436656</v>
      </c>
      <c r="AG5" s="1">
        <v>119.98694780099426</v>
      </c>
      <c r="AH5" s="1">
        <v>113.32455160024561</v>
      </c>
      <c r="AI5" s="1">
        <v>106.66225161400237</v>
      </c>
      <c r="AJ5" s="1">
        <v>100</v>
      </c>
    </row>
    <row r="6" spans="2:36" x14ac:dyDescent="0.25">
      <c r="B6" s="2" t="s">
        <v>4</v>
      </c>
      <c r="C6" s="2">
        <v>1000</v>
      </c>
      <c r="D6" s="1">
        <v>710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2:36" x14ac:dyDescent="0.25">
      <c r="B7" s="1"/>
      <c r="C7" s="1"/>
      <c r="D7" s="1"/>
      <c r="E7" s="1" t="s">
        <v>5</v>
      </c>
      <c r="F7" s="1"/>
      <c r="G7" s="1">
        <f t="shared" ref="G7:AH7" si="0">G10*H7+G11</f>
        <v>293.32918076024424</v>
      </c>
      <c r="H7" s="1">
        <f t="shared" si="0"/>
        <v>286.65840701694822</v>
      </c>
      <c r="I7" s="1">
        <f t="shared" si="0"/>
        <v>279.98772376810291</v>
      </c>
      <c r="J7" s="1">
        <f t="shared" si="0"/>
        <v>273.31717502022326</v>
      </c>
      <c r="K7" s="1">
        <f t="shared" si="0"/>
        <v>266.64680330620337</v>
      </c>
      <c r="L7" s="1">
        <f t="shared" si="0"/>
        <v>259.97664921931744</v>
      </c>
      <c r="M7" s="1">
        <f t="shared" si="0"/>
        <v>253.30675096847111</v>
      </c>
      <c r="N7" s="1">
        <f t="shared" si="0"/>
        <v>246.63714395957703</v>
      </c>
      <c r="O7" s="1">
        <f t="shared" si="0"/>
        <v>239.96786040763985</v>
      </c>
      <c r="P7" s="1">
        <f t="shared" si="0"/>
        <v>233.29892898380223</v>
      </c>
      <c r="Q7" s="1">
        <f t="shared" si="0"/>
        <v>226.63037450121766</v>
      </c>
      <c r="R7" s="1">
        <f t="shared" si="0"/>
        <v>219.96221764319233</v>
      </c>
      <c r="S7" s="1">
        <f t="shared" si="0"/>
        <v>213.29447473657467</v>
      </c>
      <c r="T7" s="1">
        <f t="shared" si="0"/>
        <v>206.62715757287481</v>
      </c>
      <c r="U7" s="1">
        <f t="shared" si="0"/>
        <v>199.9602732790743</v>
      </c>
      <c r="V7" s="1">
        <f t="shared" si="0"/>
        <v>193.29382423954166</v>
      </c>
      <c r="W7" s="1">
        <f t="shared" si="0"/>
        <v>186.62780806990838</v>
      </c>
      <c r="X7" s="1">
        <f t="shared" si="0"/>
        <v>179.96221764319293</v>
      </c>
      <c r="Y7" s="1">
        <f t="shared" si="0"/>
        <v>173.29704116788508</v>
      </c>
      <c r="Z7" s="1">
        <f t="shared" si="0"/>
        <v>166.63226231713651</v>
      </c>
      <c r="AA7" s="1">
        <f t="shared" si="0"/>
        <v>159.96786040764093</v>
      </c>
      <c r="AB7" s="1">
        <f t="shared" si="0"/>
        <v>153.30381062624485</v>
      </c>
      <c r="AC7" s="1">
        <f t="shared" si="0"/>
        <v>146.64008430180567</v>
      </c>
      <c r="AD7" s="1">
        <f t="shared" si="0"/>
        <v>139.97664921931857</v>
      </c>
      <c r="AE7" s="1">
        <f t="shared" si="0"/>
        <v>133.31346997287108</v>
      </c>
      <c r="AF7" s="1">
        <f t="shared" si="0"/>
        <v>126.65050835355746</v>
      </c>
      <c r="AG7" s="1">
        <f t="shared" si="0"/>
        <v>119.98772376810356</v>
      </c>
      <c r="AH7" s="1">
        <f t="shared" si="0"/>
        <v>113.3250736836153</v>
      </c>
      <c r="AI7" s="1">
        <f>AI10*AJ7+AI11</f>
        <v>106.66251409357778</v>
      </c>
      <c r="AJ7" s="7">
        <v>100</v>
      </c>
    </row>
    <row r="8" spans="2:36" x14ac:dyDescent="0.25">
      <c r="B8" s="2" t="s">
        <v>6</v>
      </c>
      <c r="C8" s="2">
        <v>460</v>
      </c>
      <c r="D8" s="1"/>
      <c r="E8" s="1" t="s">
        <v>7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</row>
    <row r="9" spans="2:36" x14ac:dyDescent="0.25">
      <c r="B9" s="3" t="s">
        <v>8</v>
      </c>
      <c r="C9" s="2">
        <v>7800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2:36" x14ac:dyDescent="0.25">
      <c r="B10" s="3" t="s">
        <v>9</v>
      </c>
      <c r="C10" s="2">
        <v>46</v>
      </c>
      <c r="D10" s="1"/>
      <c r="E10" s="6" t="s">
        <v>16</v>
      </c>
      <c r="F10" s="1">
        <v>0</v>
      </c>
      <c r="G10" s="1">
        <f>$C$15/($C$16-$C$17*F10)</f>
        <v>0.46012269938650308</v>
      </c>
      <c r="H10" s="1">
        <f t="shared" ref="H10:AI10" si="1">$C$15/($C$16-$C$17*G10)</f>
        <v>0.58369938884644768</v>
      </c>
      <c r="I10" s="1">
        <f t="shared" si="1"/>
        <v>0.6290756456655735</v>
      </c>
      <c r="J10" s="1">
        <f t="shared" si="1"/>
        <v>0.64756031845324091</v>
      </c>
      <c r="K10" s="1">
        <f t="shared" si="1"/>
        <v>0.65540548315346114</v>
      </c>
      <c r="L10" s="1">
        <f t="shared" si="1"/>
        <v>0.65879284043803632</v>
      </c>
      <c r="M10" s="1">
        <f t="shared" si="1"/>
        <v>0.66026626867422533</v>
      </c>
      <c r="N10" s="1">
        <f t="shared" si="1"/>
        <v>0.66090923750646746</v>
      </c>
      <c r="O10" s="1">
        <f t="shared" si="1"/>
        <v>0.66119020634439474</v>
      </c>
      <c r="P10" s="1">
        <f t="shared" si="1"/>
        <v>0.66131306101377729</v>
      </c>
      <c r="Q10" s="1">
        <f t="shared" si="1"/>
        <v>0.66136679402183063</v>
      </c>
      <c r="R10" s="1">
        <f t="shared" si="1"/>
        <v>0.66139029799916438</v>
      </c>
      <c r="S10" s="1">
        <f t="shared" si="1"/>
        <v>0.66140057967129717</v>
      </c>
      <c r="T10" s="1">
        <f t="shared" si="1"/>
        <v>0.66140507742683052</v>
      </c>
      <c r="U10" s="1">
        <f t="shared" si="1"/>
        <v>0.66140704500587066</v>
      </c>
      <c r="V10" s="1">
        <f t="shared" si="1"/>
        <v>0.66140790574269959</v>
      </c>
      <c r="W10" s="1">
        <f t="shared" si="1"/>
        <v>0.66140828228120663</v>
      </c>
      <c r="X10" s="1">
        <f t="shared" si="1"/>
        <v>0.66140844700212786</v>
      </c>
      <c r="Y10" s="1">
        <f t="shared" si="1"/>
        <v>0.66140851906113662</v>
      </c>
      <c r="Z10" s="1">
        <f t="shared" si="1"/>
        <v>0.6614085505841607</v>
      </c>
      <c r="AA10" s="1">
        <f t="shared" si="1"/>
        <v>0.66140856437426321</v>
      </c>
      <c r="AB10" s="1">
        <f t="shared" si="1"/>
        <v>0.66140857040689915</v>
      </c>
      <c r="AC10" s="1">
        <f t="shared" si="1"/>
        <v>0.66140857304594403</v>
      </c>
      <c r="AD10" s="1">
        <f t="shared" si="1"/>
        <v>0.66140857420042398</v>
      </c>
      <c r="AE10" s="1">
        <f t="shared" si="1"/>
        <v>0.66140857470546432</v>
      </c>
      <c r="AF10" s="1">
        <f t="shared" si="1"/>
        <v>0.66140857492639993</v>
      </c>
      <c r="AG10" s="1">
        <f t="shared" si="1"/>
        <v>0.66140857502305062</v>
      </c>
      <c r="AH10" s="1">
        <f t="shared" si="1"/>
        <v>0.66140857506533157</v>
      </c>
      <c r="AI10" s="1">
        <f t="shared" si="1"/>
        <v>0.66140857508382789</v>
      </c>
      <c r="AJ10" s="1"/>
    </row>
    <row r="11" spans="2:36" x14ac:dyDescent="0.25">
      <c r="E11" s="6" t="s">
        <v>17</v>
      </c>
      <c r="F11">
        <f>F5</f>
        <v>300</v>
      </c>
      <c r="G11">
        <f>(F11*$C$17-G12)/($C$16-$C$17*F10)</f>
        <v>161.43114072177113</v>
      </c>
      <c r="H11" s="1">
        <f t="shared" ref="H11:AI11" si="2">(G11*$C$17-H12)/($C$16-$C$17*G10)</f>
        <v>123.22974376899852</v>
      </c>
      <c r="I11" s="1">
        <f t="shared" si="2"/>
        <v>108.0505454207654</v>
      </c>
      <c r="J11" s="1">
        <f t="shared" si="2"/>
        <v>100.64728615671949</v>
      </c>
      <c r="K11" s="1">
        <f t="shared" si="2"/>
        <v>96.25668191599874</v>
      </c>
      <c r="L11" s="1">
        <f t="shared" si="2"/>
        <v>93.099975246668052</v>
      </c>
      <c r="M11" s="1">
        <f t="shared" si="2"/>
        <v>90.460564209813441</v>
      </c>
      <c r="N11" s="1">
        <f t="shared" si="2"/>
        <v>88.040168311505354</v>
      </c>
      <c r="O11" s="1">
        <f t="shared" si="2"/>
        <v>85.71289341291336</v>
      </c>
      <c r="P11" s="1">
        <f t="shared" si="2"/>
        <v>83.425302303703276</v>
      </c>
      <c r="Q11" s="1">
        <f t="shared" si="2"/>
        <v>81.154667812607372</v>
      </c>
      <c r="R11" s="1">
        <f t="shared" si="2"/>
        <v>78.891321435593966</v>
      </c>
      <c r="S11" s="1">
        <f t="shared" si="2"/>
        <v>76.631152942042803</v>
      </c>
      <c r="T11" s="1">
        <f t="shared" si="2"/>
        <v>74.37241754243847</v>
      </c>
      <c r="U11" s="1">
        <f t="shared" si="2"/>
        <v>72.114376170914909</v>
      </c>
      <c r="V11" s="1">
        <f t="shared" si="2"/>
        <v>69.856716550673056</v>
      </c>
      <c r="W11" s="1">
        <f t="shared" si="2"/>
        <v>67.599306823007495</v>
      </c>
      <c r="X11" s="1">
        <f t="shared" si="2"/>
        <v>65.342090774278233</v>
      </c>
      <c r="Y11" s="1">
        <f t="shared" si="2"/>
        <v>63.085043320900979</v>
      </c>
      <c r="Z11" s="1">
        <f t="shared" si="2"/>
        <v>60.828151624869363</v>
      </c>
      <c r="AA11" s="1">
        <f t="shared" si="2"/>
        <v>58.571407108232407</v>
      </c>
      <c r="AB11" s="1">
        <f t="shared" si="2"/>
        <v>56.314802103840393</v>
      </c>
      <c r="AC11" s="1">
        <f t="shared" si="2"/>
        <v>54.058328481903509</v>
      </c>
      <c r="AD11" s="1">
        <f t="shared" si="2"/>
        <v>51.801977122850872</v>
      </c>
      <c r="AE11" s="1">
        <f t="shared" si="2"/>
        <v>49.545737757022131</v>
      </c>
      <c r="AF11" s="1">
        <f t="shared" si="2"/>
        <v>47.289598967433541</v>
      </c>
      <c r="AG11" s="1">
        <f t="shared" si="2"/>
        <v>45.033548268641354</v>
      </c>
      <c r="AH11" s="1">
        <f t="shared" si="2"/>
        <v>42.777572224096168</v>
      </c>
      <c r="AI11" s="1">
        <f t="shared" si="2"/>
        <v>40.521656585194989</v>
      </c>
    </row>
    <row r="12" spans="2:36" x14ac:dyDescent="0.25">
      <c r="B12" s="2" t="s">
        <v>12</v>
      </c>
      <c r="C12" s="2">
        <v>300</v>
      </c>
      <c r="D12" s="1"/>
      <c r="E12" s="6" t="s">
        <v>18</v>
      </c>
      <c r="F12" s="1">
        <f>-(($C$9*$C$8)/$C$5)*F5</f>
        <v>-215280000</v>
      </c>
      <c r="G12" s="1">
        <f t="shared" ref="G12:AI12" si="3">-(($C$9*$C$8)/$C$5)*G5</f>
        <v>-210492831.75820789</v>
      </c>
      <c r="H12" s="1">
        <f t="shared" si="3"/>
        <v>-205705698.2283358</v>
      </c>
      <c r="I12" s="1">
        <f t="shared" si="3"/>
        <v>-200918633.74199286</v>
      </c>
      <c r="J12" s="1">
        <f t="shared" si="3"/>
        <v>-196131671.87433264</v>
      </c>
      <c r="K12" s="1">
        <f t="shared" si="3"/>
        <v>-191344845.07619709</v>
      </c>
      <c r="L12" s="1">
        <f t="shared" si="3"/>
        <v>-186558184.31857806</v>
      </c>
      <c r="M12" s="1">
        <f t="shared" si="3"/>
        <v>-181771718.75329286</v>
      </c>
      <c r="N12" s="1">
        <f t="shared" si="3"/>
        <v>-176985475.39359078</v>
      </c>
      <c r="O12" s="1">
        <f t="shared" si="3"/>
        <v>-172199478.81819013</v>
      </c>
      <c r="P12" s="1">
        <f t="shared" si="3"/>
        <v>-167413750.90198877</v>
      </c>
      <c r="Q12" s="1">
        <f t="shared" si="3"/>
        <v>-162628310.57639822</v>
      </c>
      <c r="R12" s="1">
        <f t="shared" si="3"/>
        <v>-157843173.62192705</v>
      </c>
      <c r="S12" s="1">
        <f t="shared" si="3"/>
        <v>-153058352.49528635</v>
      </c>
      <c r="T12" s="1">
        <f t="shared" si="3"/>
        <v>-148273856.19291142</v>
      </c>
      <c r="U12" s="1">
        <f t="shared" si="3"/>
        <v>-143489690.15239495</v>
      </c>
      <c r="V12" s="1">
        <f t="shared" si="3"/>
        <v>-138705856.19291162</v>
      </c>
      <c r="W12" s="1">
        <f t="shared" si="3"/>
        <v>-133922352.49528673</v>
      </c>
      <c r="X12" s="1">
        <f t="shared" si="3"/>
        <v>-129139173.62192765</v>
      </c>
      <c r="Y12" s="1">
        <f t="shared" si="3"/>
        <v>-124356310.576399</v>
      </c>
      <c r="Z12" s="1">
        <f t="shared" si="3"/>
        <v>-119573750.90198971</v>
      </c>
      <c r="AA12" s="1">
        <f t="shared" si="3"/>
        <v>-114791478.81819117</v>
      </c>
      <c r="AB12" s="1">
        <f t="shared" si="3"/>
        <v>-110009475.39359191</v>
      </c>
      <c r="AC12" s="1">
        <f t="shared" si="3"/>
        <v>-105227718.75329401</v>
      </c>
      <c r="AD12" s="1">
        <f t="shared" si="3"/>
        <v>-100446184.31857909</v>
      </c>
      <c r="AE12" s="1">
        <f t="shared" si="3"/>
        <v>-95664845.076197997</v>
      </c>
      <c r="AF12" s="1">
        <f t="shared" si="3"/>
        <v>-90883671.874333441</v>
      </c>
      <c r="AG12" s="1">
        <f t="shared" si="3"/>
        <v>-86102633.741993487</v>
      </c>
      <c r="AH12" s="1">
        <f t="shared" si="3"/>
        <v>-81321698.228336245</v>
      </c>
      <c r="AI12" s="1">
        <f t="shared" si="3"/>
        <v>-76540831.758208096</v>
      </c>
      <c r="AJ12" s="1"/>
    </row>
    <row r="13" spans="2:36" x14ac:dyDescent="0.25">
      <c r="B13" s="2" t="s">
        <v>11</v>
      </c>
      <c r="C13" s="2">
        <v>100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5" spans="2:36" x14ac:dyDescent="0.25">
      <c r="B15" t="s">
        <v>13</v>
      </c>
      <c r="C15">
        <f>C10/(C4^2)</f>
        <v>4139999.9999999991</v>
      </c>
      <c r="E15" s="1"/>
    </row>
    <row r="16" spans="2:36" x14ac:dyDescent="0.25">
      <c r="B16" t="s">
        <v>14</v>
      </c>
      <c r="C16">
        <f>(2*C10)/(C4^2)+(C9*C8)/C5</f>
        <v>8997599.9999999981</v>
      </c>
    </row>
    <row r="17" spans="2:3" x14ac:dyDescent="0.25">
      <c r="B17" t="s">
        <v>15</v>
      </c>
      <c r="C17">
        <f>C15</f>
        <v>4139999.9999999991</v>
      </c>
    </row>
  </sheetData>
  <conditionalFormatting sqref="F5:AJ5">
    <cfRule type="colorScale" priority="1">
      <colorScale>
        <cfvo type="min"/>
        <cfvo type="max"/>
        <color rgb="FF00B0F0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5" tint="-0.249977111117893"/>
  </sheetPr>
  <dimension ref="B3:AJ46"/>
  <sheetViews>
    <sheetView topLeftCell="B1" zoomScale="70" zoomScaleNormal="70" workbookViewId="0">
      <selection activeCell="D21" sqref="D21"/>
    </sheetView>
  </sheetViews>
  <sheetFormatPr defaultRowHeight="15" x14ac:dyDescent="0.25"/>
  <sheetData>
    <row r="3" spans="2:36" x14ac:dyDescent="0.25">
      <c r="B3" s="2" t="s">
        <v>0</v>
      </c>
      <c r="C3" s="2">
        <v>0.1</v>
      </c>
      <c r="D3" s="1"/>
      <c r="E3" s="1"/>
      <c r="F3" s="2">
        <v>1</v>
      </c>
      <c r="G3" s="2">
        <v>2</v>
      </c>
      <c r="H3" s="2">
        <v>3</v>
      </c>
      <c r="I3" s="2">
        <v>4</v>
      </c>
      <c r="J3" s="2">
        <v>5</v>
      </c>
      <c r="K3" s="2">
        <v>6</v>
      </c>
      <c r="L3" s="2">
        <v>7</v>
      </c>
      <c r="M3" s="2">
        <v>8</v>
      </c>
      <c r="N3" s="2">
        <v>9</v>
      </c>
      <c r="O3" s="2">
        <v>10</v>
      </c>
      <c r="P3" s="2">
        <v>11</v>
      </c>
      <c r="Q3" s="2">
        <v>12</v>
      </c>
      <c r="R3" s="2">
        <v>13</v>
      </c>
      <c r="S3" s="2">
        <v>14</v>
      </c>
      <c r="T3" s="2">
        <v>15</v>
      </c>
      <c r="U3" s="2">
        <v>16</v>
      </c>
      <c r="V3" s="2">
        <v>17</v>
      </c>
      <c r="W3" s="2">
        <v>18</v>
      </c>
      <c r="X3" s="2">
        <v>19</v>
      </c>
      <c r="Y3" s="2">
        <v>20</v>
      </c>
      <c r="Z3" s="2">
        <v>21</v>
      </c>
      <c r="AA3" s="2">
        <v>22</v>
      </c>
      <c r="AB3" s="2">
        <v>23</v>
      </c>
      <c r="AC3" s="2">
        <v>24</v>
      </c>
      <c r="AD3" s="2">
        <v>25</v>
      </c>
      <c r="AE3" s="2">
        <v>26</v>
      </c>
      <c r="AF3" s="2">
        <v>27</v>
      </c>
      <c r="AG3" s="2">
        <v>28</v>
      </c>
      <c r="AH3" s="2">
        <v>29</v>
      </c>
      <c r="AI3" s="2">
        <v>30</v>
      </c>
      <c r="AJ3" s="2">
        <v>31</v>
      </c>
    </row>
    <row r="4" spans="2:36" x14ac:dyDescent="0.25">
      <c r="B4" s="2" t="s">
        <v>1</v>
      </c>
      <c r="C4" s="5">
        <v>3.3333333333333335E-3</v>
      </c>
      <c r="D4" s="1"/>
      <c r="E4" s="1" t="s">
        <v>0</v>
      </c>
      <c r="F4" s="4">
        <v>0</v>
      </c>
      <c r="G4" s="4">
        <v>3.3333333333333335E-3</v>
      </c>
      <c r="H4" s="4">
        <v>6.6666666666666671E-3</v>
      </c>
      <c r="I4" s="4">
        <v>0.01</v>
      </c>
      <c r="J4" s="4">
        <v>1.3333333333333334E-2</v>
      </c>
      <c r="K4" s="4">
        <v>1.6666666666666666E-2</v>
      </c>
      <c r="L4" s="4">
        <v>0.02</v>
      </c>
      <c r="M4" s="4">
        <v>2.3333333333333334E-2</v>
      </c>
      <c r="N4" s="4">
        <v>2.6666666666666668E-2</v>
      </c>
      <c r="O4" s="4">
        <v>3.0000000000000002E-2</v>
      </c>
      <c r="P4" s="4">
        <v>3.3333333333333333E-2</v>
      </c>
      <c r="Q4" s="4">
        <v>3.6666666666666667E-2</v>
      </c>
      <c r="R4" s="4">
        <v>0.04</v>
      </c>
      <c r="S4" s="4">
        <v>4.3333333333333335E-2</v>
      </c>
      <c r="T4" s="4">
        <v>4.6666666666666669E-2</v>
      </c>
      <c r="U4" s="4">
        <v>0.05</v>
      </c>
      <c r="V4" s="4">
        <v>5.3333333333333337E-2</v>
      </c>
      <c r="W4" s="4">
        <v>5.6666666666666671E-2</v>
      </c>
      <c r="X4" s="4">
        <v>6.0000000000000005E-2</v>
      </c>
      <c r="Y4" s="4">
        <v>6.3333333333333339E-2</v>
      </c>
      <c r="Z4" s="4">
        <v>6.6666666666666666E-2</v>
      </c>
      <c r="AA4" s="4">
        <v>7.0000000000000007E-2</v>
      </c>
      <c r="AB4" s="4">
        <v>7.3333333333333334E-2</v>
      </c>
      <c r="AC4" s="4">
        <v>7.6666666666666675E-2</v>
      </c>
      <c r="AD4" s="4">
        <v>0.08</v>
      </c>
      <c r="AE4" s="4">
        <v>8.3333333333333343E-2</v>
      </c>
      <c r="AF4" s="4">
        <v>8.666666666666667E-2</v>
      </c>
      <c r="AG4" s="4">
        <v>9.0000000000000011E-2</v>
      </c>
      <c r="AH4" s="4">
        <v>9.3333333333333338E-2</v>
      </c>
      <c r="AI4" s="4">
        <v>9.6666666666666679E-2</v>
      </c>
      <c r="AJ4" s="4">
        <v>0.1</v>
      </c>
    </row>
    <row r="5" spans="2:36" x14ac:dyDescent="0.25">
      <c r="B5" s="2" t="s">
        <v>2</v>
      </c>
      <c r="C5" s="5">
        <v>5</v>
      </c>
      <c r="D5" s="1"/>
      <c r="E5" s="1" t="s">
        <v>3</v>
      </c>
      <c r="F5" s="1">
        <f>(F8/C10)*C4+G5</f>
        <v>299.9700784164682</v>
      </c>
      <c r="G5" s="1">
        <v>293.30341174980151</v>
      </c>
      <c r="H5" s="1">
        <v>286.63715035920717</v>
      </c>
      <c r="I5" s="1">
        <v>279.97094802802161</v>
      </c>
      <c r="J5" s="1">
        <v>273.3048038271524</v>
      </c>
      <c r="K5" s="1">
        <v>266.63871671119364</v>
      </c>
      <c r="L5" s="1">
        <v>259.97268552051793</v>
      </c>
      <c r="M5" s="1">
        <v>253.30670898359625</v>
      </c>
      <c r="N5" s="1">
        <v>246.64078571954281</v>
      </c>
      <c r="O5" s="1">
        <v>239.97491424087747</v>
      </c>
      <c r="P5" s="1">
        <v>233.30909295650235</v>
      </c>
      <c r="Q5" s="1">
        <v>226.64332017488547</v>
      </c>
      <c r="R5" s="1">
        <v>219.97759410744527</v>
      </c>
      <c r="S5" s="1">
        <v>213.31191287212948</v>
      </c>
      <c r="T5" s="1">
        <v>206.64627449718091</v>
      </c>
      <c r="U5" s="1">
        <v>199.98067692508261</v>
      </c>
      <c r="V5" s="1">
        <v>193.315118016675</v>
      </c>
      <c r="W5" s="1">
        <v>186.64959555543589</v>
      </c>
      <c r="X5" s="1">
        <v>179.98410725191587</v>
      </c>
      <c r="Y5" s="1">
        <v>173.31865074831893</v>
      </c>
      <c r="Z5" s="1">
        <v>166.65322362322038</v>
      </c>
      <c r="AA5" s="1">
        <v>159.98782339641184</v>
      </c>
      <c r="AB5" s="1">
        <v>153.32244753386399</v>
      </c>
      <c r="AC5" s="1">
        <v>146.65709345279686</v>
      </c>
      <c r="AD5" s="1">
        <v>139.99175852684766</v>
      </c>
      <c r="AE5" s="1">
        <v>133.32644009132613</v>
      </c>
      <c r="AF5" s="1">
        <v>126.66113544854606</v>
      </c>
      <c r="AG5" s="1">
        <v>119.99584187322327</v>
      </c>
      <c r="AH5" s="1">
        <v>113.33055661792865</v>
      </c>
      <c r="AI5" s="1">
        <v>106.66527691858546</v>
      </c>
      <c r="AJ5" s="1">
        <v>100</v>
      </c>
    </row>
    <row r="6" spans="2:36" x14ac:dyDescent="0.25">
      <c r="B6" s="2" t="s">
        <v>4</v>
      </c>
      <c r="C6" s="2">
        <v>1500</v>
      </c>
      <c r="D6" s="1">
        <v>1505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2:36" x14ac:dyDescent="0.25">
      <c r="B7" s="1"/>
      <c r="C7" s="1"/>
      <c r="D7" s="1"/>
      <c r="E7" s="1" t="s">
        <v>5</v>
      </c>
      <c r="F7" s="1"/>
      <c r="G7" s="1">
        <f t="shared" ref="G7:AH7" si="0">G10*H7+G11</f>
        <v>293.30375321378762</v>
      </c>
      <c r="H7" s="1">
        <f t="shared" si="0"/>
        <v>286.63748719819796</v>
      </c>
      <c r="I7" s="1">
        <f t="shared" si="0"/>
        <v>279.97127956803337</v>
      </c>
      <c r="J7" s="1">
        <f t="shared" si="0"/>
        <v>273.30512940480412</v>
      </c>
      <c r="K7" s="1">
        <f t="shared" si="0"/>
        <v>266.63903567503456</v>
      </c>
      <c r="L7" s="1">
        <f t="shared" si="0"/>
        <v>259.97299723233073</v>
      </c>
      <c r="M7" s="1">
        <f t="shared" si="0"/>
        <v>253.30701281967436</v>
      </c>
      <c r="N7" s="1">
        <f t="shared" si="0"/>
        <v>246.64108107193823</v>
      </c>
      <c r="O7" s="1">
        <f t="shared" si="0"/>
        <v>239.97520051861733</v>
      </c>
      <c r="P7" s="1">
        <f t="shared" si="0"/>
        <v>233.30936958677125</v>
      </c>
      <c r="Q7" s="1">
        <f t="shared" si="0"/>
        <v>226.64358660417179</v>
      </c>
      <c r="R7" s="1">
        <f t="shared" si="0"/>
        <v>219.97784980264856</v>
      </c>
      <c r="S7" s="1">
        <f t="shared" si="0"/>
        <v>213.31215732162727</v>
      </c>
      <c r="T7" s="1">
        <f t="shared" si="0"/>
        <v>206.64650721185228</v>
      </c>
      <c r="U7" s="1">
        <f t="shared" si="0"/>
        <v>199.98089743928693</v>
      </c>
      <c r="V7" s="1">
        <f t="shared" si="0"/>
        <v>193.31532588918373</v>
      </c>
      <c r="W7" s="1">
        <f t="shared" si="0"/>
        <v>186.64979037031534</v>
      </c>
      <c r="X7" s="1">
        <f t="shared" si="0"/>
        <v>179.9842886193594</v>
      </c>
      <c r="Y7" s="1">
        <f t="shared" si="0"/>
        <v>173.31881830542702</v>
      </c>
      <c r="Z7" s="1">
        <f t="shared" si="0"/>
        <v>166.6533770347267</v>
      </c>
      <c r="AA7" s="1">
        <f t="shared" si="0"/>
        <v>159.98796235535411</v>
      </c>
      <c r="AB7" s="1">
        <f t="shared" si="0"/>
        <v>153.32257176219818</v>
      </c>
      <c r="AC7" s="1">
        <f t="shared" si="0"/>
        <v>146.65720270195351</v>
      </c>
      <c r="AD7" s="1">
        <f t="shared" si="0"/>
        <v>139.99185257822936</v>
      </c>
      <c r="AE7" s="1">
        <f t="shared" si="0"/>
        <v>133.32651875674469</v>
      </c>
      <c r="AF7" s="1">
        <f t="shared" si="0"/>
        <v>126.66119857059925</v>
      </c>
      <c r="AG7" s="1">
        <f t="shared" si="0"/>
        <v>119.99588932560968</v>
      </c>
      <c r="AH7" s="1">
        <f t="shared" si="0"/>
        <v>113.33058830570045</v>
      </c>
      <c r="AI7" s="1">
        <f>AI10*AJ7+AI11</f>
        <v>106.66529277833831</v>
      </c>
      <c r="AJ7" s="7">
        <v>100</v>
      </c>
    </row>
    <row r="8" spans="2:36" x14ac:dyDescent="0.25">
      <c r="B8" s="2" t="s">
        <v>6</v>
      </c>
      <c r="C8" s="2">
        <v>460</v>
      </c>
      <c r="D8" s="1"/>
      <c r="E8" s="1" t="s">
        <v>7</v>
      </c>
      <c r="F8" s="1">
        <v>92000</v>
      </c>
      <c r="G8" s="1">
        <f>-$C$10*((G5-F5)/$C$4)</f>
        <v>92000.000000000247</v>
      </c>
      <c r="H8" s="1">
        <f t="shared" ref="H8:AJ8" si="1">-$C$10*((H5-G5)/$C$4)</f>
        <v>91994.40719020192</v>
      </c>
      <c r="I8" s="1">
        <f t="shared" si="1"/>
        <v>91993.592170360702</v>
      </c>
      <c r="J8" s="1">
        <f t="shared" si="1"/>
        <v>91992.789971995109</v>
      </c>
      <c r="K8" s="1">
        <f t="shared" si="1"/>
        <v>91992.002200230883</v>
      </c>
      <c r="L8" s="1">
        <f t="shared" si="1"/>
        <v>91991.230431324788</v>
      </c>
      <c r="M8" s="1">
        <f t="shared" si="1"/>
        <v>91990.476209519111</v>
      </c>
      <c r="N8" s="1">
        <f t="shared" si="1"/>
        <v>91989.741043937553</v>
      </c>
      <c r="O8" s="1">
        <f t="shared" si="1"/>
        <v>91989.026405581651</v>
      </c>
      <c r="P8" s="1">
        <f t="shared" si="1"/>
        <v>91988.333724376542</v>
      </c>
      <c r="Q8" s="1">
        <f t="shared" si="1"/>
        <v>91987.664386312943</v>
      </c>
      <c r="R8" s="1">
        <f t="shared" si="1"/>
        <v>91987.019730674801</v>
      </c>
      <c r="S8" s="1">
        <f t="shared" si="1"/>
        <v>91986.401047357853</v>
      </c>
      <c r="T8" s="1">
        <f t="shared" si="1"/>
        <v>91985.809574290266</v>
      </c>
      <c r="U8" s="1">
        <f t="shared" si="1"/>
        <v>91985.24649495662</v>
      </c>
      <c r="V8" s="1">
        <f t="shared" si="1"/>
        <v>91984.712936024924</v>
      </c>
      <c r="W8" s="1">
        <f t="shared" si="1"/>
        <v>91984.209965099668</v>
      </c>
      <c r="X8" s="1">
        <f t="shared" si="1"/>
        <v>91983.738588576292</v>
      </c>
      <c r="Y8" s="1">
        <f t="shared" si="1"/>
        <v>91983.299749637794</v>
      </c>
      <c r="Z8" s="1">
        <f t="shared" si="1"/>
        <v>91982.894326359936</v>
      </c>
      <c r="AA8" s="1">
        <f t="shared" si="1"/>
        <v>91982.523129957888</v>
      </c>
      <c r="AB8" s="1">
        <f t="shared" si="1"/>
        <v>91982.186903160284</v>
      </c>
      <c r="AC8" s="1">
        <f t="shared" si="1"/>
        <v>91981.886318726465</v>
      </c>
      <c r="AD8" s="1">
        <f t="shared" si="1"/>
        <v>91981.62197809889</v>
      </c>
      <c r="AE8" s="1">
        <f t="shared" si="1"/>
        <v>91981.39441019707</v>
      </c>
      <c r="AF8" s="1">
        <f t="shared" si="1"/>
        <v>91981.204070364984</v>
      </c>
      <c r="AG8" s="1">
        <f t="shared" si="1"/>
        <v>91981.051339454527</v>
      </c>
      <c r="AH8" s="1">
        <f t="shared" si="1"/>
        <v>91980.936523065757</v>
      </c>
      <c r="AI8" s="1">
        <f>-$C$10*((AI5-AH5)/$C$4)</f>
        <v>91980.859850935987</v>
      </c>
      <c r="AJ8" s="1">
        <f t="shared" si="1"/>
        <v>91980.821476479367</v>
      </c>
    </row>
    <row r="9" spans="2:36" x14ac:dyDescent="0.25">
      <c r="B9" s="3" t="s">
        <v>8</v>
      </c>
      <c r="C9" s="2">
        <v>7800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2:36" x14ac:dyDescent="0.25">
      <c r="B10" s="3" t="s">
        <v>9</v>
      </c>
      <c r="C10" s="2">
        <v>46</v>
      </c>
      <c r="D10" s="1"/>
      <c r="E10" s="6" t="s">
        <v>16</v>
      </c>
      <c r="F10" s="1">
        <v>0</v>
      </c>
      <c r="G10" s="1">
        <f>$C$15/($C$16-$C$17*F10)</f>
        <v>0.46012269938650308</v>
      </c>
      <c r="H10" s="1">
        <f t="shared" ref="H10:AI10" si="2">$C$15/($C$16-$C$17*G10)</f>
        <v>0.58369938884644768</v>
      </c>
      <c r="I10" s="1">
        <f t="shared" si="2"/>
        <v>0.6290756456655735</v>
      </c>
      <c r="J10" s="1">
        <f t="shared" si="2"/>
        <v>0.64756031845324091</v>
      </c>
      <c r="K10" s="1">
        <f t="shared" si="2"/>
        <v>0.65540548315346114</v>
      </c>
      <c r="L10" s="1">
        <f t="shared" si="2"/>
        <v>0.65879284043803632</v>
      </c>
      <c r="M10" s="1">
        <f t="shared" si="2"/>
        <v>0.66026626867422533</v>
      </c>
      <c r="N10" s="1">
        <f t="shared" si="2"/>
        <v>0.66090923750646746</v>
      </c>
      <c r="O10" s="1">
        <f t="shared" si="2"/>
        <v>0.66119020634439474</v>
      </c>
      <c r="P10" s="1">
        <f t="shared" si="2"/>
        <v>0.66131306101377729</v>
      </c>
      <c r="Q10" s="1">
        <f t="shared" si="2"/>
        <v>0.66136679402183063</v>
      </c>
      <c r="R10" s="1">
        <f t="shared" si="2"/>
        <v>0.66139029799916438</v>
      </c>
      <c r="S10" s="1">
        <f t="shared" si="2"/>
        <v>0.66140057967129717</v>
      </c>
      <c r="T10" s="1">
        <f t="shared" si="2"/>
        <v>0.66140507742683052</v>
      </c>
      <c r="U10" s="1">
        <f t="shared" si="2"/>
        <v>0.66140704500587066</v>
      </c>
      <c r="V10" s="1">
        <f t="shared" si="2"/>
        <v>0.66140790574269959</v>
      </c>
      <c r="W10" s="1">
        <f t="shared" si="2"/>
        <v>0.66140828228120663</v>
      </c>
      <c r="X10" s="1">
        <f t="shared" si="2"/>
        <v>0.66140844700212786</v>
      </c>
      <c r="Y10" s="1">
        <f t="shared" si="2"/>
        <v>0.66140851906113662</v>
      </c>
      <c r="Z10" s="1">
        <f t="shared" si="2"/>
        <v>0.6614085505841607</v>
      </c>
      <c r="AA10" s="1">
        <f t="shared" si="2"/>
        <v>0.66140856437426321</v>
      </c>
      <c r="AB10" s="1">
        <f t="shared" si="2"/>
        <v>0.66140857040689915</v>
      </c>
      <c r="AC10" s="1">
        <f t="shared" si="2"/>
        <v>0.66140857304594403</v>
      </c>
      <c r="AD10" s="1">
        <f t="shared" si="2"/>
        <v>0.66140857420042398</v>
      </c>
      <c r="AE10" s="1">
        <f t="shared" si="2"/>
        <v>0.66140857470546432</v>
      </c>
      <c r="AF10" s="1">
        <f t="shared" si="2"/>
        <v>0.66140857492639993</v>
      </c>
      <c r="AG10" s="1">
        <f t="shared" si="2"/>
        <v>0.66140857502305062</v>
      </c>
      <c r="AH10" s="1">
        <f t="shared" si="2"/>
        <v>0.66140857506533157</v>
      </c>
      <c r="AI10" s="1">
        <f t="shared" si="2"/>
        <v>0.66140857508382789</v>
      </c>
      <c r="AJ10" s="1"/>
    </row>
    <row r="11" spans="2:36" x14ac:dyDescent="0.25">
      <c r="B11" s="8" t="s">
        <v>10</v>
      </c>
      <c r="C11" s="7">
        <v>92000</v>
      </c>
      <c r="D11" s="1"/>
      <c r="E11" s="6" t="s">
        <v>17</v>
      </c>
      <c r="F11" s="1">
        <f>F5</f>
        <v>299.9700784164682</v>
      </c>
      <c r="G11" s="1">
        <f>(F11*$C$17-G12)/($C$16-$C$17*F10)</f>
        <v>161.41533885878854</v>
      </c>
      <c r="H11" s="1">
        <f t="shared" ref="H11:AI11" si="3">(G11*$C$17-H12)/($C$16-$C$17*G10)</f>
        <v>123.21842241977893</v>
      </c>
      <c r="I11" s="1">
        <f t="shared" si="3"/>
        <v>108.04167882399308</v>
      </c>
      <c r="J11" s="1">
        <f t="shared" si="3"/>
        <v>100.64027055101371</v>
      </c>
      <c r="K11" s="1">
        <f t="shared" si="3"/>
        <v>96.251307817125436</v>
      </c>
      <c r="L11" s="1">
        <f t="shared" si="3"/>
        <v>93.096150753983352</v>
      </c>
      <c r="M11" s="1">
        <f t="shared" si="3"/>
        <v>90.458226518528591</v>
      </c>
      <c r="N11" s="1">
        <f t="shared" si="3"/>
        <v>88.03925427671723</v>
      </c>
      <c r="O11" s="1">
        <f t="shared" si="3"/>
        <v>85.713330299459372</v>
      </c>
      <c r="P11" s="1">
        <f t="shared" si="3"/>
        <v>83.427005570425266</v>
      </c>
      <c r="Q11" s="1">
        <f t="shared" si="3"/>
        <v>81.1575413243783</v>
      </c>
      <c r="R11" s="1">
        <f t="shared" si="3"/>
        <v>78.89525850485289</v>
      </c>
      <c r="S11" s="1">
        <f t="shared" si="3"/>
        <v>76.636037664659284</v>
      </c>
      <c r="T11" s="1">
        <f t="shared" si="3"/>
        <v>74.378126257133644</v>
      </c>
      <c r="U11" s="1">
        <f t="shared" si="3"/>
        <v>72.12077898857504</v>
      </c>
      <c r="V11" s="1">
        <f t="shared" si="3"/>
        <v>69.863678933039566</v>
      </c>
      <c r="W11" s="1">
        <f t="shared" si="3"/>
        <v>67.606691196979909</v>
      </c>
      <c r="X11" s="1">
        <f t="shared" si="3"/>
        <v>65.349758167722953</v>
      </c>
      <c r="Y11" s="1">
        <f t="shared" si="3"/>
        <v>63.0928550043512</v>
      </c>
      <c r="Z11" s="1">
        <f t="shared" si="3"/>
        <v>60.835970742358654</v>
      </c>
      <c r="AA11" s="1">
        <f t="shared" si="3"/>
        <v>58.579100279948669</v>
      </c>
      <c r="AB11" s="1">
        <f t="shared" si="3"/>
        <v>56.322240983224269</v>
      </c>
      <c r="AC11" s="1">
        <f t="shared" si="3"/>
        <v>54.065391250128684</v>
      </c>
      <c r="AD11" s="1">
        <f t="shared" si="3"/>
        <v>51.808549904224769</v>
      </c>
      <c r="AE11" s="1">
        <f t="shared" si="3"/>
        <v>49.551715939678857</v>
      </c>
      <c r="AF11" s="1">
        <f t="shared" si="3"/>
        <v>47.294888414721754</v>
      </c>
      <c r="AG11" s="1">
        <f t="shared" si="3"/>
        <v>45.038066407812359</v>
      </c>
      <c r="AH11" s="1">
        <f t="shared" si="3"/>
        <v>42.781249000253297</v>
      </c>
      <c r="AI11" s="1">
        <f t="shared" si="3"/>
        <v>40.524435269955518</v>
      </c>
      <c r="AJ11" s="1"/>
    </row>
    <row r="12" spans="2:36" x14ac:dyDescent="0.25">
      <c r="B12" s="2" t="s">
        <v>12</v>
      </c>
      <c r="C12" s="2">
        <v>300</v>
      </c>
      <c r="D12" s="1"/>
      <c r="E12" s="6" t="s">
        <v>18</v>
      </c>
      <c r="F12" s="1">
        <f>-(($C$9*$C$8)/$C$5)*F5</f>
        <v>-215258528.27165759</v>
      </c>
      <c r="G12" s="1">
        <f t="shared" ref="G12:AI12" si="4">-(($C$9*$C$8)/$C$5)*G5</f>
        <v>-210474528.27165756</v>
      </c>
      <c r="H12" s="1">
        <f t="shared" si="4"/>
        <v>-205690819.09776706</v>
      </c>
      <c r="I12" s="1">
        <f t="shared" si="4"/>
        <v>-200907152.30490831</v>
      </c>
      <c r="J12" s="1">
        <f t="shared" si="4"/>
        <v>-196123527.22636455</v>
      </c>
      <c r="K12" s="1">
        <f t="shared" si="4"/>
        <v>-191339943.11195254</v>
      </c>
      <c r="L12" s="1">
        <f t="shared" si="4"/>
        <v>-186556399.12952366</v>
      </c>
      <c r="M12" s="1">
        <f t="shared" si="4"/>
        <v>-181772894.36662868</v>
      </c>
      <c r="N12" s="1">
        <f t="shared" si="4"/>
        <v>-176989427.83234391</v>
      </c>
      <c r="O12" s="1">
        <f t="shared" si="4"/>
        <v>-172205998.45925367</v>
      </c>
      <c r="P12" s="1">
        <f t="shared" si="4"/>
        <v>-167422605.10558608</v>
      </c>
      <c r="Q12" s="1">
        <f t="shared" si="4"/>
        <v>-162639246.55749783</v>
      </c>
      <c r="R12" s="1">
        <f t="shared" si="4"/>
        <v>-157855921.53150272</v>
      </c>
      <c r="S12" s="1">
        <f t="shared" si="4"/>
        <v>-153072628.67704013</v>
      </c>
      <c r="T12" s="1">
        <f t="shared" si="4"/>
        <v>-148289366.57917702</v>
      </c>
      <c r="U12" s="1">
        <f t="shared" si="4"/>
        <v>-143506133.76143926</v>
      </c>
      <c r="V12" s="1">
        <f t="shared" si="4"/>
        <v>-138722928.68876597</v>
      </c>
      <c r="W12" s="1">
        <f t="shared" si="4"/>
        <v>-133939749.7705808</v>
      </c>
      <c r="X12" s="1">
        <f t="shared" si="4"/>
        <v>-129156595.36397482</v>
      </c>
      <c r="Y12" s="1">
        <f t="shared" si="4"/>
        <v>-124373463.77699366</v>
      </c>
      <c r="Z12" s="1">
        <f t="shared" si="4"/>
        <v>-119590353.27202295</v>
      </c>
      <c r="AA12" s="1">
        <f t="shared" si="4"/>
        <v>-114807262.06926514</v>
      </c>
      <c r="AB12" s="1">
        <f t="shared" si="4"/>
        <v>-110024188.3503008</v>
      </c>
      <c r="AC12" s="1">
        <f t="shared" si="4"/>
        <v>-105241130.26172702</v>
      </c>
      <c r="AD12" s="1">
        <f t="shared" si="4"/>
        <v>-100458085.91886587</v>
      </c>
      <c r="AE12" s="1">
        <f t="shared" si="4"/>
        <v>-95675053.409535632</v>
      </c>
      <c r="AF12" s="1">
        <f t="shared" si="4"/>
        <v>-90892030.797876656</v>
      </c>
      <c r="AG12" s="1">
        <f t="shared" si="4"/>
        <v>-86109016.128225014</v>
      </c>
      <c r="AH12" s="1">
        <f t="shared" si="4"/>
        <v>-81326007.429025605</v>
      </c>
      <c r="AI12" s="1">
        <f t="shared" si="4"/>
        <v>-76543002.716776922</v>
      </c>
      <c r="AJ12" s="1"/>
    </row>
    <row r="13" spans="2:36" x14ac:dyDescent="0.25">
      <c r="B13" s="2" t="s">
        <v>11</v>
      </c>
      <c r="C13" s="2">
        <v>100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2:36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2:36" x14ac:dyDescent="0.25">
      <c r="B15" s="1" t="s">
        <v>13</v>
      </c>
      <c r="C15" s="1">
        <f>C10/(C4^2)</f>
        <v>4139999.9999999991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2:36" x14ac:dyDescent="0.25">
      <c r="B16" s="1" t="s">
        <v>14</v>
      </c>
      <c r="C16" s="1">
        <f>(2*C10)/(C4^2)+(C9*C8)/C5</f>
        <v>8997599.9999999981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2:36" x14ac:dyDescent="0.25">
      <c r="B17" s="1" t="s">
        <v>15</v>
      </c>
      <c r="C17" s="1">
        <f>C15</f>
        <v>4139999.9999999991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2:36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2:36" x14ac:dyDescent="0.25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2:36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2:36" x14ac:dyDescent="0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</row>
    <row r="22" spans="2:36" x14ac:dyDescent="0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2:36" x14ac:dyDescent="0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</row>
    <row r="24" spans="2:36" x14ac:dyDescent="0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</row>
    <row r="25" spans="2:36" x14ac:dyDescent="0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</row>
    <row r="26" spans="2:36" x14ac:dyDescent="0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</row>
    <row r="27" spans="2:36" x14ac:dyDescent="0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2:36" x14ac:dyDescent="0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</row>
    <row r="29" spans="2:36" x14ac:dyDescent="0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2:36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2:36" x14ac:dyDescent="0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</row>
    <row r="32" spans="2:36" x14ac:dyDescent="0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2:36" x14ac:dyDescent="0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2:36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2:36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2:36" x14ac:dyDescent="0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2:36" x14ac:dyDescent="0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2:36" x14ac:dyDescent="0.2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2:36" x14ac:dyDescent="0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2:36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2:36" x14ac:dyDescent="0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2:36" x14ac:dyDescent="0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2:36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2:36" x14ac:dyDescent="0.2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2:36" x14ac:dyDescent="0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2:36" x14ac:dyDescent="0.2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</sheetData>
  <conditionalFormatting sqref="F5:AJ5">
    <cfRule type="colorScale" priority="1">
      <colorScale>
        <cfvo type="min"/>
        <cfvo type="max"/>
        <color rgb="FF00B0F0"/>
        <color rgb="FFFF0000"/>
      </colorScale>
    </cfRule>
  </conditionalFormatting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FFFF00"/>
  </sheetPr>
  <dimension ref="A1:AJ20"/>
  <sheetViews>
    <sheetView zoomScale="60" zoomScaleNormal="60" workbookViewId="0">
      <selection activeCell="G14" sqref="G14"/>
    </sheetView>
  </sheetViews>
  <sheetFormatPr defaultRowHeight="15" x14ac:dyDescent="0.25"/>
  <sheetData>
    <row r="1" spans="1:3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x14ac:dyDescent="0.25">
      <c r="A3" s="1"/>
      <c r="B3" s="2" t="s">
        <v>0</v>
      </c>
      <c r="C3" s="2">
        <v>0.1</v>
      </c>
      <c r="D3" s="1"/>
      <c r="E3" s="1"/>
      <c r="F3" s="2">
        <v>1</v>
      </c>
      <c r="G3" s="2">
        <v>2</v>
      </c>
      <c r="H3" s="2">
        <v>3</v>
      </c>
      <c r="I3" s="2">
        <v>4</v>
      </c>
      <c r="J3" s="2">
        <v>5</v>
      </c>
      <c r="K3" s="2">
        <v>6</v>
      </c>
      <c r="L3" s="2">
        <v>7</v>
      </c>
      <c r="M3" s="2">
        <v>8</v>
      </c>
      <c r="N3" s="2">
        <v>9</v>
      </c>
      <c r="O3" s="2">
        <v>10</v>
      </c>
      <c r="P3" s="2">
        <v>11</v>
      </c>
      <c r="Q3" s="2">
        <v>12</v>
      </c>
      <c r="R3" s="2">
        <v>13</v>
      </c>
      <c r="S3" s="2">
        <v>14</v>
      </c>
      <c r="T3" s="2">
        <v>15</v>
      </c>
      <c r="U3" s="2">
        <v>16</v>
      </c>
      <c r="V3" s="2">
        <v>17</v>
      </c>
      <c r="W3" s="2">
        <v>18</v>
      </c>
      <c r="X3" s="2">
        <v>19</v>
      </c>
      <c r="Y3" s="2">
        <v>20</v>
      </c>
      <c r="Z3" s="2">
        <v>21</v>
      </c>
      <c r="AA3" s="2">
        <v>22</v>
      </c>
      <c r="AB3" s="2">
        <v>23</v>
      </c>
      <c r="AC3" s="2">
        <v>24</v>
      </c>
      <c r="AD3" s="2">
        <v>25</v>
      </c>
      <c r="AE3" s="2">
        <v>26</v>
      </c>
      <c r="AF3" s="2">
        <v>27</v>
      </c>
      <c r="AG3" s="2">
        <v>28</v>
      </c>
      <c r="AH3" s="2">
        <v>29</v>
      </c>
      <c r="AI3" s="2">
        <v>30</v>
      </c>
      <c r="AJ3" s="2">
        <v>31</v>
      </c>
    </row>
    <row r="4" spans="1:36" x14ac:dyDescent="0.25">
      <c r="A4" s="1"/>
      <c r="B4" s="2" t="s">
        <v>1</v>
      </c>
      <c r="C4" s="5">
        <f>C3/30</f>
        <v>3.3333333333333335E-3</v>
      </c>
      <c r="D4" s="1"/>
      <c r="E4" s="1" t="s">
        <v>0</v>
      </c>
      <c r="F4" s="4">
        <v>0</v>
      </c>
      <c r="G4" s="4">
        <f>F3*$C$4</f>
        <v>3.3333333333333335E-3</v>
      </c>
      <c r="H4" s="4">
        <f t="shared" ref="H4:AJ4" si="0">G3*$C$4</f>
        <v>6.6666666666666671E-3</v>
      </c>
      <c r="I4" s="4">
        <f t="shared" si="0"/>
        <v>0.01</v>
      </c>
      <c r="J4" s="4">
        <f t="shared" si="0"/>
        <v>1.3333333333333334E-2</v>
      </c>
      <c r="K4" s="4">
        <f t="shared" si="0"/>
        <v>1.6666666666666666E-2</v>
      </c>
      <c r="L4" s="4">
        <f t="shared" si="0"/>
        <v>0.02</v>
      </c>
      <c r="M4" s="4">
        <f t="shared" si="0"/>
        <v>2.3333333333333334E-2</v>
      </c>
      <c r="N4" s="4">
        <f t="shared" si="0"/>
        <v>2.6666666666666668E-2</v>
      </c>
      <c r="O4" s="4">
        <f t="shared" si="0"/>
        <v>3.0000000000000002E-2</v>
      </c>
      <c r="P4" s="4">
        <f t="shared" si="0"/>
        <v>3.3333333333333333E-2</v>
      </c>
      <c r="Q4" s="4">
        <f t="shared" si="0"/>
        <v>3.6666666666666667E-2</v>
      </c>
      <c r="R4" s="4">
        <f t="shared" si="0"/>
        <v>0.04</v>
      </c>
      <c r="S4" s="4">
        <f t="shared" si="0"/>
        <v>4.3333333333333335E-2</v>
      </c>
      <c r="T4" s="4">
        <f t="shared" si="0"/>
        <v>4.6666666666666669E-2</v>
      </c>
      <c r="U4" s="4">
        <f t="shared" si="0"/>
        <v>0.05</v>
      </c>
      <c r="V4" s="4">
        <f t="shared" si="0"/>
        <v>5.3333333333333337E-2</v>
      </c>
      <c r="W4" s="4">
        <f t="shared" si="0"/>
        <v>5.6666666666666671E-2</v>
      </c>
      <c r="X4" s="4">
        <f t="shared" si="0"/>
        <v>6.0000000000000005E-2</v>
      </c>
      <c r="Y4" s="4">
        <f t="shared" si="0"/>
        <v>6.3333333333333339E-2</v>
      </c>
      <c r="Z4" s="4">
        <f t="shared" si="0"/>
        <v>6.6666666666666666E-2</v>
      </c>
      <c r="AA4" s="4">
        <f t="shared" si="0"/>
        <v>7.0000000000000007E-2</v>
      </c>
      <c r="AB4" s="4">
        <f t="shared" si="0"/>
        <v>7.3333333333333334E-2</v>
      </c>
      <c r="AC4" s="4">
        <f t="shared" si="0"/>
        <v>7.6666666666666675E-2</v>
      </c>
      <c r="AD4" s="4">
        <f t="shared" si="0"/>
        <v>0.08</v>
      </c>
      <c r="AE4" s="4">
        <f t="shared" si="0"/>
        <v>8.3333333333333343E-2</v>
      </c>
      <c r="AF4" s="4">
        <f t="shared" si="0"/>
        <v>8.666666666666667E-2</v>
      </c>
      <c r="AG4" s="4">
        <f t="shared" si="0"/>
        <v>9.0000000000000011E-2</v>
      </c>
      <c r="AH4" s="4">
        <f t="shared" si="0"/>
        <v>9.3333333333333338E-2</v>
      </c>
      <c r="AI4" s="4">
        <f t="shared" si="0"/>
        <v>9.6666666666666679E-2</v>
      </c>
      <c r="AJ4" s="4">
        <f t="shared" si="0"/>
        <v>0.1</v>
      </c>
    </row>
    <row r="5" spans="1:36" x14ac:dyDescent="0.25">
      <c r="A5" s="1"/>
      <c r="B5" s="2" t="s">
        <v>2</v>
      </c>
      <c r="C5" s="5">
        <f>(C9*C8*C4^2)/(2*C10)</f>
        <v>0.4333333333333334</v>
      </c>
      <c r="D5" s="1"/>
      <c r="E5" s="1" t="s">
        <v>3</v>
      </c>
      <c r="F5" s="1">
        <f>G5+($C$11*($C$13-$C$14)*$C$4)/$C$10</f>
        <v>85763.080460892976</v>
      </c>
      <c r="G5" s="1">
        <v>85762.715243501676</v>
      </c>
      <c r="H5" s="1">
        <v>79570.705493080794</v>
      </c>
      <c r="I5" s="1">
        <v>73468.251519254482</v>
      </c>
      <c r="J5" s="1">
        <v>67497.682099256563</v>
      </c>
      <c r="K5" s="1">
        <v>61698.487307960706</v>
      </c>
      <c r="L5" s="1">
        <v>56106.533741895357</v>
      </c>
      <c r="M5" s="1">
        <v>50753.407339911384</v>
      </c>
      <c r="N5" s="1">
        <v>45665.903050501263</v>
      </c>
      <c r="O5" s="1">
        <v>40865.673400754138</v>
      </c>
      <c r="P5" s="1">
        <v>36369.04049355055</v>
      </c>
      <c r="Q5" s="1">
        <v>32186.968548477107</v>
      </c>
      <c r="R5" s="1">
        <v>28325.187228251823</v>
      </c>
      <c r="S5" s="1">
        <v>24784.450017161686</v>
      </c>
      <c r="T5" s="1">
        <v>21560.907120646545</v>
      </c>
      <c r="U5" s="1">
        <v>18646.568919657242</v>
      </c>
      <c r="V5" s="1">
        <v>16029.834022750278</v>
      </c>
      <c r="W5" s="1">
        <v>13696.05539825606</v>
      </c>
      <c r="X5" s="1">
        <v>11628.118836406189</v>
      </c>
      <c r="Y5" s="1">
        <v>9807.0099147079309</v>
      </c>
      <c r="Z5" s="1">
        <v>8212.3484967852764</v>
      </c>
      <c r="AA5" s="1">
        <v>6822.873335104875</v>
      </c>
      <c r="AB5" s="1">
        <v>5616.8633148192512</v>
      </c>
      <c r="AC5" s="1">
        <v>4572.4860254942541</v>
      </c>
      <c r="AD5" s="1">
        <v>3668.0684639282208</v>
      </c>
      <c r="AE5" s="1">
        <v>2882.288577463095</v>
      </c>
      <c r="AF5" s="1">
        <v>2194.2899201217119</v>
      </c>
      <c r="AG5" s="1">
        <v>1583.7248252574818</v>
      </c>
      <c r="AH5" s="1">
        <v>1030.7341507589256</v>
      </c>
      <c r="AI5" s="1">
        <v>515.8738125576225</v>
      </c>
      <c r="AJ5" s="1">
        <v>20</v>
      </c>
    </row>
    <row r="6" spans="1:36" x14ac:dyDescent="0.25">
      <c r="A6" s="1"/>
      <c r="B6" s="2" t="s">
        <v>4</v>
      </c>
      <c r="C6" s="2">
        <v>60</v>
      </c>
      <c r="D6" s="1">
        <v>60.233333333333341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x14ac:dyDescent="0.25">
      <c r="A7" s="1"/>
      <c r="B7" s="1"/>
      <c r="C7" s="1"/>
      <c r="D7" s="1"/>
      <c r="E7" s="1" t="s">
        <v>5</v>
      </c>
      <c r="F7" s="1"/>
      <c r="G7" s="1">
        <f>G10*H7+G11</f>
        <v>85785.108632023708</v>
      </c>
      <c r="H7" s="1">
        <f>H10*I7+H11</f>
        <v>79615.004041091393</v>
      </c>
      <c r="I7" s="1">
        <f t="shared" ref="I7:AH7" si="1">I10*J7+I11</f>
        <v>73533.496546180249</v>
      </c>
      <c r="J7" s="1">
        <f t="shared" si="1"/>
        <v>67582.47910512067</v>
      </c>
      <c r="K7" s="1">
        <f t="shared" si="1"/>
        <v>61801.055675789314</v>
      </c>
      <c r="L7" s="1">
        <f t="shared" si="1"/>
        <v>56224.768982115165</v>
      </c>
      <c r="M7" s="1">
        <f t="shared" si="1"/>
        <v>50884.952768880619</v>
      </c>
      <c r="N7" s="1">
        <f t="shared" si="1"/>
        <v>45808.227413584544</v>
      </c>
      <c r="O7" s="1">
        <f t="shared" si="1"/>
        <v>41016.150784455029</v>
      </c>
      <c r="P7" s="1">
        <f t="shared" si="1"/>
        <v>36525.028922727302</v>
      </c>
      <c r="Q7" s="1">
        <f t="shared" si="1"/>
        <v>32345.883919353044</v>
      </c>
      <c r="R7" s="1">
        <f t="shared" si="1"/>
        <v>28484.56965773067</v>
      </c>
      <c r="S7" s="1">
        <f t="shared" si="1"/>
        <v>24942.020255065989</v>
      </c>
      <c r="T7" s="1">
        <f t="shared" si="1"/>
        <v>21714.611328209921</v>
      </c>
      <c r="U7" s="1">
        <f t="shared" si="1"/>
        <v>18794.610816480606</v>
      </c>
      <c r="V7" s="1">
        <f t="shared" si="1"/>
        <v>16170.694098398009</v>
      </c>
      <c r="W7" s="1">
        <f t="shared" si="1"/>
        <v>13828.497531610874</v>
      </c>
      <c r="X7" s="1">
        <f t="shared" si="1"/>
        <v>11751.185231533362</v>
      </c>
      <c r="Y7" s="1">
        <f t="shared" si="1"/>
        <v>9920.005721710193</v>
      </c>
      <c r="Z7" s="1">
        <f t="shared" si="1"/>
        <v>8314.8178258915432</v>
      </c>
      <c r="AA7" s="1">
        <f t="shared" si="1"/>
        <v>6914.568588285425</v>
      </c>
      <c r="AB7" s="1">
        <f t="shared" si="1"/>
        <v>5697.709857040406</v>
      </c>
      <c r="AC7" s="1">
        <f t="shared" si="1"/>
        <v>4642.5442102376946</v>
      </c>
      <c r="AD7" s="1">
        <f t="shared" si="1"/>
        <v>3727.4949329218634</v>
      </c>
      <c r="AE7" s="1">
        <f t="shared" si="1"/>
        <v>2931.2985935933157</v>
      </c>
      <c r="AF7" s="1">
        <f t="shared" si="1"/>
        <v>2233.1222865252084</v>
      </c>
      <c r="AG7" s="1">
        <f t="shared" si="1"/>
        <v>1612.6107122640938</v>
      </c>
      <c r="AH7" s="1">
        <f t="shared" si="1"/>
        <v>1049.8709120162018</v>
      </c>
      <c r="AI7" s="1">
        <f>AI10*AJ7+AI11</f>
        <v>525.40463428286171</v>
      </c>
      <c r="AJ7" s="1">
        <f>AJ5</f>
        <v>20</v>
      </c>
    </row>
    <row r="8" spans="1:36" x14ac:dyDescent="0.25">
      <c r="A8" s="1"/>
      <c r="B8" s="2" t="s">
        <v>6</v>
      </c>
      <c r="C8" s="2">
        <v>460</v>
      </c>
      <c r="D8" s="1"/>
      <c r="E8" s="1" t="s">
        <v>7</v>
      </c>
      <c r="F8" s="1">
        <f>C13-C14</f>
        <v>80</v>
      </c>
      <c r="G8" s="1">
        <f>(F5-G5)*$C$10/($C$11*$C$4)</f>
        <v>79.999999998974431</v>
      </c>
      <c r="H8" s="1">
        <f>(G5-H5)*$C$10/($C$11*$C$4)</f>
        <v>1356344.9929493361</v>
      </c>
      <c r="I8" s="1">
        <f t="shared" ref="I8:AI8" si="2">(H5-I5)*$C$10/($C$11*$C$4)</f>
        <v>1336728.0133143349</v>
      </c>
      <c r="J8" s="1">
        <f t="shared" si="2"/>
        <v>1307839.0158090678</v>
      </c>
      <c r="K8" s="1">
        <f t="shared" si="2"/>
        <v>1270299.8114267113</v>
      </c>
      <c r="L8" s="1">
        <f t="shared" si="2"/>
        <v>1224904.1144714572</v>
      </c>
      <c r="M8" s="1">
        <f t="shared" si="2"/>
        <v>1172589.5928155368</v>
      </c>
      <c r="N8" s="1">
        <f t="shared" si="2"/>
        <v>1114405.7014898357</v>
      </c>
      <c r="O8" s="1">
        <f t="shared" si="2"/>
        <v>1051478.875658894</v>
      </c>
      <c r="P8" s="1">
        <f t="shared" si="2"/>
        <v>984976.73205411911</v>
      </c>
      <c r="Q8" s="1">
        <f t="shared" si="2"/>
        <v>916072.90225418273</v>
      </c>
      <c r="R8" s="1">
        <f t="shared" si="2"/>
        <v>845914.00347791915</v>
      </c>
      <c r="S8" s="1">
        <f t="shared" si="2"/>
        <v>775590.05576260155</v>
      </c>
      <c r="T8" s="1">
        <f t="shared" si="2"/>
        <v>706109.39637950691</v>
      </c>
      <c r="U8" s="1">
        <f t="shared" si="2"/>
        <v>638378.8440262283</v>
      </c>
      <c r="V8" s="1">
        <f t="shared" si="2"/>
        <v>573189.54884628742</v>
      </c>
      <c r="W8" s="1">
        <f t="shared" si="2"/>
        <v>511208.65107968583</v>
      </c>
      <c r="X8" s="1">
        <f>(W5-X5)*$C$10/($C$11*$C$4)</f>
        <v>452976.58021473349</v>
      </c>
      <c r="Y8" s="1">
        <f t="shared" si="2"/>
        <v>398909.57332438033</v>
      </c>
      <c r="Z8" s="1">
        <f t="shared" si="2"/>
        <v>349306.78678305761</v>
      </c>
      <c r="AA8" s="1">
        <f t="shared" si="2"/>
        <v>304361.22589189745</v>
      </c>
      <c r="AB8" s="1">
        <f t="shared" si="2"/>
        <v>264173.62349113665</v>
      </c>
      <c r="AC8" s="1">
        <f t="shared" si="2"/>
        <v>228768.35861404694</v>
      </c>
      <c r="AD8" s="1">
        <f t="shared" si="2"/>
        <v>198110.51348589297</v>
      </c>
      <c r="AE8" s="1">
        <f t="shared" si="2"/>
        <v>172123.2132256942</v>
      </c>
      <c r="AF8" s="1">
        <f t="shared" si="2"/>
        <v>150704.46779858865</v>
      </c>
      <c r="AG8" s="1">
        <f t="shared" si="2"/>
        <v>133742.83030359325</v>
      </c>
      <c r="AH8" s="1">
        <f t="shared" si="2"/>
        <v>121131.29060444565</v>
      </c>
      <c r="AI8" s="1">
        <f t="shared" si="2"/>
        <v>112778.93122504733</v>
      </c>
      <c r="AJ8" s="1"/>
    </row>
    <row r="9" spans="1:36" x14ac:dyDescent="0.25">
      <c r="A9" s="1"/>
      <c r="B9" s="3" t="s">
        <v>8</v>
      </c>
      <c r="C9" s="2">
        <v>7800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x14ac:dyDescent="0.25">
      <c r="A10" s="1"/>
      <c r="B10" s="3" t="s">
        <v>9</v>
      </c>
      <c r="C10" s="2">
        <v>46</v>
      </c>
      <c r="D10" s="1"/>
      <c r="E10" s="1" t="s">
        <v>19</v>
      </c>
      <c r="F10" s="1">
        <v>0</v>
      </c>
      <c r="G10" s="1">
        <f>$C$15/($C$16-$C$17*F10)</f>
        <v>0.25</v>
      </c>
      <c r="H10" s="1">
        <f>$C$15/($C$16-$C$17*G10)</f>
        <v>0.26666666666666666</v>
      </c>
      <c r="I10" s="1">
        <f t="shared" ref="I10:AI10" si="3">$C$15/($C$16-$C$17*H10)</f>
        <v>0.26785714285714285</v>
      </c>
      <c r="J10" s="1">
        <f t="shared" si="3"/>
        <v>0.26794258373205743</v>
      </c>
      <c r="K10" s="1">
        <f t="shared" si="3"/>
        <v>0.26794871794871794</v>
      </c>
      <c r="L10" s="1">
        <f t="shared" si="3"/>
        <v>0.26794915836482308</v>
      </c>
      <c r="M10" s="1">
        <f t="shared" si="3"/>
        <v>0.26794918998527245</v>
      </c>
      <c r="N10" s="1">
        <f t="shared" si="3"/>
        <v>0.26794919225551855</v>
      </c>
      <c r="O10" s="1">
        <f t="shared" si="3"/>
        <v>0.26794919241851489</v>
      </c>
      <c r="P10" s="1">
        <f t="shared" si="3"/>
        <v>0.26794919243021753</v>
      </c>
      <c r="Q10" s="1">
        <f t="shared" si="3"/>
        <v>0.26794919243105775</v>
      </c>
      <c r="R10" s="1">
        <f t="shared" si="3"/>
        <v>0.26794919243111803</v>
      </c>
      <c r="S10" s="1">
        <f t="shared" si="3"/>
        <v>0.26794919243112236</v>
      </c>
      <c r="T10" s="1">
        <f t="shared" si="3"/>
        <v>0.2679491924311227</v>
      </c>
      <c r="U10" s="1">
        <f t="shared" si="3"/>
        <v>0.2679491924311227</v>
      </c>
      <c r="V10" s="1">
        <f t="shared" si="3"/>
        <v>0.2679491924311227</v>
      </c>
      <c r="W10" s="1">
        <f t="shared" si="3"/>
        <v>0.2679491924311227</v>
      </c>
      <c r="X10" s="1">
        <f t="shared" si="3"/>
        <v>0.2679491924311227</v>
      </c>
      <c r="Y10" s="1">
        <f t="shared" si="3"/>
        <v>0.2679491924311227</v>
      </c>
      <c r="Z10" s="1">
        <f t="shared" si="3"/>
        <v>0.2679491924311227</v>
      </c>
      <c r="AA10" s="1">
        <f t="shared" si="3"/>
        <v>0.2679491924311227</v>
      </c>
      <c r="AB10" s="1">
        <f t="shared" si="3"/>
        <v>0.2679491924311227</v>
      </c>
      <c r="AC10" s="1">
        <f t="shared" si="3"/>
        <v>0.2679491924311227</v>
      </c>
      <c r="AD10" s="1">
        <f t="shared" si="3"/>
        <v>0.2679491924311227</v>
      </c>
      <c r="AE10" s="1">
        <f t="shared" si="3"/>
        <v>0.2679491924311227</v>
      </c>
      <c r="AF10" s="1">
        <f t="shared" si="3"/>
        <v>0.2679491924311227</v>
      </c>
      <c r="AG10" s="1">
        <f t="shared" si="3"/>
        <v>0.2679491924311227</v>
      </c>
      <c r="AH10" s="1">
        <f t="shared" si="3"/>
        <v>0.2679491924311227</v>
      </c>
      <c r="AI10" s="1">
        <f t="shared" si="3"/>
        <v>0.2679491924311227</v>
      </c>
      <c r="AJ10" s="1"/>
    </row>
    <row r="11" spans="1:36" x14ac:dyDescent="0.25">
      <c r="A11" s="1"/>
      <c r="B11" s="9" t="s">
        <v>16</v>
      </c>
      <c r="C11" s="10">
        <v>63</v>
      </c>
      <c r="D11" s="1"/>
      <c r="E11" s="1" t="s">
        <v>20</v>
      </c>
      <c r="F11" s="1">
        <f>C12</f>
        <v>92000</v>
      </c>
      <c r="G11" s="1">
        <f>(F11*$C$17-G12)/($C$16-$C$17*F10)</f>
        <v>65881.357621750853</v>
      </c>
      <c r="H11" s="1">
        <f>(G11*$C$17-H12)/($C$16-$C$17*G10)</f>
        <v>60006.071628776655</v>
      </c>
      <c r="I11" s="1">
        <f t="shared" ref="I11:AH11" si="4">(H11*$C$17-I12)/($C$16-$C$17*H10)</f>
        <v>55431.046785880077</v>
      </c>
      <c r="J11" s="1">
        <f t="shared" si="4"/>
        <v>51023.344569980953</v>
      </c>
      <c r="K11" s="1">
        <f t="shared" si="4"/>
        <v>46735.700910068714</v>
      </c>
      <c r="L11" s="1">
        <f t="shared" si="4"/>
        <v>42590.188714259828</v>
      </c>
      <c r="M11" s="1">
        <f t="shared" si="4"/>
        <v>38610.67533874949</v>
      </c>
      <c r="N11" s="1">
        <f t="shared" si="4"/>
        <v>34817.982941459268</v>
      </c>
      <c r="O11" s="1">
        <f t="shared" si="4"/>
        <v>31229.29878154735</v>
      </c>
      <c r="P11" s="1">
        <f t="shared" si="4"/>
        <v>27857.975448095091</v>
      </c>
      <c r="Q11" s="1">
        <f t="shared" si="4"/>
        <v>24713.466482817901</v>
      </c>
      <c r="R11" s="1">
        <f t="shared" si="4"/>
        <v>21801.375472785148</v>
      </c>
      <c r="S11" s="1">
        <f t="shared" si="4"/>
        <v>19123.607685716441</v>
      </c>
      <c r="T11" s="1">
        <f t="shared" si="4"/>
        <v>16678.610537876699</v>
      </c>
      <c r="U11" s="1">
        <f t="shared" si="4"/>
        <v>14461.686391764137</v>
      </c>
      <c r="V11" s="1">
        <f t="shared" si="4"/>
        <v>12465.359352267102</v>
      </c>
      <c r="W11" s="1">
        <f t="shared" si="4"/>
        <v>10679.776938712974</v>
      </c>
      <c r="X11" s="1">
        <f t="shared" si="4"/>
        <v>9093.1277094889992</v>
      </c>
      <c r="Y11" s="1">
        <f t="shared" si="4"/>
        <v>7692.0570000506495</v>
      </c>
      <c r="Z11" s="1">
        <f t="shared" si="4"/>
        <v>6462.0647566508551</v>
      </c>
      <c r="AA11" s="1">
        <f t="shared" si="4"/>
        <v>5387.8718333846009</v>
      </c>
      <c r="AB11" s="1">
        <f t="shared" si="4"/>
        <v>4453.7438850814315</v>
      </c>
      <c r="AC11" s="1">
        <f t="shared" si="4"/>
        <v>3643.76495317018</v>
      </c>
      <c r="AD11" s="1">
        <f t="shared" si="4"/>
        <v>2942.0558419940489</v>
      </c>
      <c r="AE11" s="1">
        <f t="shared" si="4"/>
        <v>2332.935280318944</v>
      </c>
      <c r="AF11" s="1">
        <f t="shared" si="4"/>
        <v>1801.0245484682669</v>
      </c>
      <c r="AG11" s="1">
        <f t="shared" si="4"/>
        <v>1331.2986492324262</v>
      </c>
      <c r="AH11" s="1">
        <f t="shared" si="4"/>
        <v>909.08916456053964</v>
      </c>
      <c r="AI11" s="1">
        <f>(AH11*$C$17-AI12)/($C$16-$C$17*AH10)</f>
        <v>520.04565043423929</v>
      </c>
      <c r="AJ11" s="1"/>
    </row>
    <row r="12" spans="1:36" x14ac:dyDescent="0.25">
      <c r="A12" s="1"/>
      <c r="B12" s="2" t="s">
        <v>10</v>
      </c>
      <c r="C12" s="2">
        <v>92000</v>
      </c>
      <c r="D12" s="1"/>
      <c r="E12" s="1" t="s">
        <v>18</v>
      </c>
      <c r="F12" s="1">
        <f>-($C$9*$C$8/$C$5)*F5</f>
        <v>-710118306216.19373</v>
      </c>
      <c r="G12" s="1">
        <f>-($C$9*$C$8/$C$5)*G5</f>
        <v>-710115282216.19385</v>
      </c>
      <c r="H12" s="1">
        <f t="shared" ref="H12:AH12" si="5">-($C$9*$C$8/$C$5)*H5</f>
        <v>-658845441482.70886</v>
      </c>
      <c r="I12" s="1">
        <f t="shared" si="5"/>
        <v>-608317122579.427</v>
      </c>
      <c r="J12" s="1">
        <f t="shared" si="5"/>
        <v>-558880807781.84424</v>
      </c>
      <c r="K12" s="1">
        <f t="shared" si="5"/>
        <v>-510863474909.91461</v>
      </c>
      <c r="L12" s="1">
        <f t="shared" si="5"/>
        <v>-464562099382.89349</v>
      </c>
      <c r="M12" s="1">
        <f t="shared" si="5"/>
        <v>-420238212774.46619</v>
      </c>
      <c r="N12" s="1">
        <f t="shared" si="5"/>
        <v>-378113677258.15039</v>
      </c>
      <c r="O12" s="1">
        <f t="shared" si="5"/>
        <v>-338367775758.2442</v>
      </c>
      <c r="P12" s="1">
        <f t="shared" si="5"/>
        <v>-301135655286.59851</v>
      </c>
      <c r="Q12" s="1">
        <f t="shared" si="5"/>
        <v>-266508099581.39041</v>
      </c>
      <c r="R12" s="1">
        <f t="shared" si="5"/>
        <v>-234532550249.92508</v>
      </c>
      <c r="S12" s="1">
        <f t="shared" si="5"/>
        <v>-205215246142.09872</v>
      </c>
      <c r="T12" s="1">
        <f t="shared" si="5"/>
        <v>-178524310958.95337</v>
      </c>
      <c r="U12" s="1">
        <f t="shared" si="5"/>
        <v>-154393590654.76193</v>
      </c>
      <c r="V12" s="1">
        <f t="shared" si="5"/>
        <v>-132727025708.37228</v>
      </c>
      <c r="W12" s="1">
        <f t="shared" si="5"/>
        <v>-113403338697.56017</v>
      </c>
      <c r="X12" s="1">
        <f t="shared" si="5"/>
        <v>-96280823965.443237</v>
      </c>
      <c r="Y12" s="1">
        <f t="shared" si="5"/>
        <v>-81202042093.781662</v>
      </c>
      <c r="Z12" s="1">
        <f t="shared" si="5"/>
        <v>-67998245553.38208</v>
      </c>
      <c r="AA12" s="1">
        <f t="shared" si="5"/>
        <v>-56493391214.668358</v>
      </c>
      <c r="AB12" s="1">
        <f t="shared" si="5"/>
        <v>-46507628246.703392</v>
      </c>
      <c r="AC12" s="1">
        <f t="shared" si="5"/>
        <v>-37860184291.092422</v>
      </c>
      <c r="AD12" s="1">
        <f t="shared" si="5"/>
        <v>-30371606881.325665</v>
      </c>
      <c r="AE12" s="1">
        <f t="shared" si="5"/>
        <v>-23865349421.394424</v>
      </c>
      <c r="AF12" s="1">
        <f t="shared" si="5"/>
        <v>-18168720538.607773</v>
      </c>
      <c r="AG12" s="1">
        <f t="shared" si="5"/>
        <v>-13113241553.131948</v>
      </c>
      <c r="AH12" s="1">
        <f t="shared" si="5"/>
        <v>-8534478768.2839031</v>
      </c>
      <c r="AI12" s="1">
        <f>-($C$9*$C$8/$C$5)*AI5</f>
        <v>-4271435167.9771137</v>
      </c>
      <c r="AJ12" s="1"/>
    </row>
    <row r="13" spans="1:36" x14ac:dyDescent="0.25">
      <c r="A13" s="1"/>
      <c r="B13" s="2" t="s">
        <v>11</v>
      </c>
      <c r="C13" s="2">
        <v>100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x14ac:dyDescent="0.25">
      <c r="A14" s="1"/>
      <c r="B14" s="10" t="s">
        <v>21</v>
      </c>
      <c r="C14" s="2">
        <v>20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x14ac:dyDescent="0.25">
      <c r="A15" s="1"/>
      <c r="B15" s="1" t="s">
        <v>13</v>
      </c>
      <c r="C15" s="1">
        <f>C10/(C4^(2))</f>
        <v>4139999.9999999991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x14ac:dyDescent="0.25">
      <c r="A16" s="1"/>
      <c r="B16" s="1" t="s">
        <v>14</v>
      </c>
      <c r="C16" s="1">
        <f>2*C10/(C4^(2))+C9*C8/C5</f>
        <v>16559999.999999996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x14ac:dyDescent="0.25">
      <c r="A17" s="1"/>
      <c r="B17" s="1" t="s">
        <v>15</v>
      </c>
      <c r="C17" s="1">
        <f>C10/(C4^(2))</f>
        <v>4139999.9999999991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x14ac:dyDescent="0.25">
      <c r="A18" s="1"/>
      <c r="B18" s="11"/>
      <c r="C18" s="1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x14ac:dyDescent="0.25">
      <c r="A19" s="1"/>
      <c r="B19" s="12"/>
      <c r="C19" s="12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x14ac:dyDescent="0.25">
      <c r="A20" s="1"/>
      <c r="B20" s="12"/>
      <c r="C20" s="12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</sheetData>
  <conditionalFormatting sqref="F5:AJ5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</vt:lpstr>
      <vt:lpstr>2</vt:lpstr>
      <vt:lpstr>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</dc:creator>
  <cp:lastModifiedBy>Алексей</cp:lastModifiedBy>
  <dcterms:created xsi:type="dcterms:W3CDTF">2021-04-04T15:26:17Z</dcterms:created>
  <dcterms:modified xsi:type="dcterms:W3CDTF">2021-04-05T14:38:06Z</dcterms:modified>
</cp:coreProperties>
</file>